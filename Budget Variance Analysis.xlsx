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cuments\Personal Stuff\Data Analysis\"/>
    </mc:Choice>
  </mc:AlternateContent>
  <xr:revisionPtr revIDLastSave="0" documentId="13_ncr:1_{614B97DD-5EA0-4691-91B7-DDAF3B6143F2}" xr6:coauthVersionLast="47" xr6:coauthVersionMax="47" xr10:uidLastSave="{00000000-0000-0000-0000-000000000000}"/>
  <bookViews>
    <workbookView xWindow="-110" yWindow="-110" windowWidth="19420" windowHeight="10300" tabRatio="731" firstSheet="1" activeTab="4" xr2:uid="{FC7CED01-EAA9-49D9-A680-7EA8CBD66228}"/>
  </bookViews>
  <sheets>
    <sheet name="Clean Data " sheetId="1" r:id="rId1"/>
    <sheet name="BUSINESS QUESTIONS" sheetId="13" r:id="rId2"/>
    <sheet name="EDA" sheetId="7" r:id="rId3"/>
    <sheet name="PIVOT TABLES" sheetId="9" r:id="rId4"/>
    <sheet name="DASHBOARD" sheetId="11" r:id="rId5"/>
  </sheets>
  <definedNames>
    <definedName name="Slicer_Account_Type">#N/A</definedName>
    <definedName name="Slicer_Budget_Status">#N/A</definedName>
    <definedName name="Slicer_Department">#N/A</definedName>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7" l="1" a="1"/>
  <c r="C7" i="7" s="1"/>
  <c r="C6" i="7" a="1"/>
  <c r="C6" i="7" s="1"/>
  <c r="C5" i="7" a="1"/>
  <c r="C5" i="7" s="1"/>
  <c r="G8" i="7"/>
  <c r="G7" i="7"/>
  <c r="G6" i="7"/>
  <c r="G5" i="7"/>
  <c r="G4" i="7"/>
  <c r="C3" i="7"/>
  <c r="I78" i="1" l="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3" i="1"/>
  <c r="J4" i="1"/>
  <c r="J5" i="1"/>
  <c r="J6" i="1"/>
  <c r="J7" i="1"/>
  <c r="J8" i="1"/>
  <c r="J9" i="1"/>
  <c r="J10"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<sst xmlns="http://schemas.openxmlformats.org/spreadsheetml/2006/main" count="3419" uniqueCount="123">
  <si>
    <t>Month</t>
  </si>
  <si>
    <t>Department</t>
  </si>
  <si>
    <t>Budget</t>
  </si>
  <si>
    <t>Actual</t>
  </si>
  <si>
    <t>Jan</t>
  </si>
  <si>
    <t>Revenue</t>
  </si>
  <si>
    <t>Product Revenue</t>
  </si>
  <si>
    <t>Feb</t>
  </si>
  <si>
    <t>Mar</t>
  </si>
  <si>
    <t>Apr</t>
  </si>
  <si>
    <t>May</t>
  </si>
  <si>
    <t>Jun</t>
  </si>
  <si>
    <t>Jul</t>
  </si>
  <si>
    <t>Aug</t>
  </si>
  <si>
    <t>Sep</t>
  </si>
  <si>
    <t>Oct</t>
  </si>
  <si>
    <t>Nov</t>
  </si>
  <si>
    <t>Dec</t>
  </si>
  <si>
    <t>Service Revenue</t>
  </si>
  <si>
    <t>Subscription Revenue</t>
  </si>
  <si>
    <t>Consulting Revenue</t>
  </si>
  <si>
    <t>Licensing Revenue</t>
  </si>
  <si>
    <t>Other Revenue</t>
  </si>
  <si>
    <t>Expenses</t>
  </si>
  <si>
    <t>Sales &amp; Marketing</t>
  </si>
  <si>
    <t>Salaries &amp; Wages</t>
  </si>
  <si>
    <t>Commissions</t>
  </si>
  <si>
    <t>Advertising &amp; Promotions</t>
  </si>
  <si>
    <t>Travel &amp; Entertainment</t>
  </si>
  <si>
    <t>Software &amp; Subscriptions</t>
  </si>
  <si>
    <t>Training &amp; Development</t>
  </si>
  <si>
    <t>Office Supplies</t>
  </si>
  <si>
    <t>Miscellaneous</t>
  </si>
  <si>
    <t>Operations</t>
  </si>
  <si>
    <t>Rent &amp; Facilities</t>
  </si>
  <si>
    <t>Utilities</t>
  </si>
  <si>
    <t>Equipment &amp; Maintenance</t>
  </si>
  <si>
    <t>Insurance</t>
  </si>
  <si>
    <t>Logistics &amp; Freight</t>
  </si>
  <si>
    <t>Contract Labour</t>
  </si>
  <si>
    <t>Finance &amp; Admin</t>
  </si>
  <si>
    <t>Audit &amp; Accounting Fees</t>
  </si>
  <si>
    <t>Bank Charges</t>
  </si>
  <si>
    <t>Human Resources</t>
  </si>
  <si>
    <t>Recruitment Costs</t>
  </si>
  <si>
    <t>Employee Benefits</t>
  </si>
  <si>
    <t>HR Software</t>
  </si>
  <si>
    <t>Information Technology</t>
  </si>
  <si>
    <t>Cloud Infrastructure</t>
  </si>
  <si>
    <t>Software Licenses</t>
  </si>
  <si>
    <t>Hardware &amp; Equipment</t>
  </si>
  <si>
    <t>Cybersecurity</t>
  </si>
  <si>
    <t>Support &amp; Maintenance</t>
  </si>
  <si>
    <t>Customer Success</t>
  </si>
  <si>
    <t>CRM &amp; Tools</t>
  </si>
  <si>
    <t>Research &amp; Development</t>
  </si>
  <si>
    <t>R&amp;D Materials</t>
  </si>
  <si>
    <t>Patent &amp; IP Fees</t>
  </si>
  <si>
    <t>Software &amp; Tools</t>
  </si>
  <si>
    <t>External Research</t>
  </si>
  <si>
    <t>Supply Chain</t>
  </si>
  <si>
    <t>Procurement Costs</t>
  </si>
  <si>
    <t>Warehousing</t>
  </si>
  <si>
    <t>Legal &amp; Compliance</t>
  </si>
  <si>
    <t>Legal Fees</t>
  </si>
  <si>
    <t>Compliance &amp; Regulatory</t>
  </si>
  <si>
    <t>Executive Office</t>
  </si>
  <si>
    <t>Board &amp; Governance</t>
  </si>
  <si>
    <t>PR &amp; Communications</t>
  </si>
  <si>
    <t>Row Labels</t>
  </si>
  <si>
    <t>Grand Total</t>
  </si>
  <si>
    <t>Sum of Budget</t>
  </si>
  <si>
    <t>Sum of Actual</t>
  </si>
  <si>
    <t>Variance</t>
  </si>
  <si>
    <t>Sum of Variance</t>
  </si>
  <si>
    <t>Line items</t>
  </si>
  <si>
    <t>Corporate</t>
  </si>
  <si>
    <t>Quarter</t>
  </si>
  <si>
    <t>Account Type</t>
  </si>
  <si>
    <t>Budget Status</t>
  </si>
  <si>
    <t>Variance %</t>
  </si>
  <si>
    <t>Favourable</t>
  </si>
  <si>
    <t>Unfavourable</t>
  </si>
  <si>
    <t>Records</t>
  </si>
  <si>
    <t>Columns</t>
  </si>
  <si>
    <t>Departments</t>
  </si>
  <si>
    <t>Date Range</t>
  </si>
  <si>
    <t>Months</t>
  </si>
  <si>
    <t>Account type</t>
  </si>
  <si>
    <t>DATA OVERVIEW</t>
  </si>
  <si>
    <t>Missing Values</t>
  </si>
  <si>
    <t>Duplicates</t>
  </si>
  <si>
    <t>Blank</t>
  </si>
  <si>
    <t>Invalid dates</t>
  </si>
  <si>
    <t>Status</t>
  </si>
  <si>
    <t>Details</t>
  </si>
  <si>
    <t>Item</t>
  </si>
  <si>
    <t>DATA QUALITY CHECK</t>
  </si>
  <si>
    <t>Negative Revenues</t>
  </si>
  <si>
    <t>Good</t>
  </si>
  <si>
    <t>EXPLORATORY DATA</t>
  </si>
  <si>
    <t>Count of Budget Status</t>
  </si>
  <si>
    <t>Column Labels</t>
  </si>
  <si>
    <t>Q1</t>
  </si>
  <si>
    <t>Q2</t>
  </si>
  <si>
    <t>Q3</t>
  </si>
  <si>
    <t>Q4</t>
  </si>
  <si>
    <t>Sum of Variance %</t>
  </si>
  <si>
    <t>Questions</t>
  </si>
  <si>
    <t>How did actual performance compare with the overall budget?</t>
  </si>
  <si>
    <t>Which months had the largest favorable and unfavorable variances?</t>
  </si>
  <si>
    <t>Which departments had the largest unfavorable variances?</t>
  </si>
  <si>
    <t>Which departments consistently performed within or below budget?</t>
  </si>
  <si>
    <t>Which expense categories contributed most to unfavorable variance?</t>
  </si>
  <si>
    <t>Which revenue lines had the largest favorable or unfavorable variances?</t>
  </si>
  <si>
    <t>Are budget variances concentrated in a small number of departments or line items?</t>
  </si>
  <si>
    <t>Date</t>
  </si>
  <si>
    <t>Text</t>
  </si>
  <si>
    <t>Line Item</t>
  </si>
  <si>
    <t>Currency</t>
  </si>
  <si>
    <t>Jan- Dec</t>
  </si>
  <si>
    <t>Percentage</t>
  </si>
  <si>
    <t>DATA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</si>
</sst>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 x14ac:knownFonts="1">
    <font>
      <sz val="11"/>
      <color theme="1"/>
      <name val="Gill Sans MT"/>
      <family val="2"/>
      <scheme val="minor"/>
    </font>
    <font>
      <sz val="11"/>
      <color theme="1"/>
      <name val="Gill Sans MT"/>
      <family val="2"/>
      <scheme val="minor"/>
    </font>
    <font>
      <b/>
      <sz val="11"/>
      <color theme="1"/>
      <name val="Gill Sans MT"/>
      <family val="2"/>
      <scheme val="minor"/>
    </font>
    <font>
      <b/>
      <sz val="12"/>
      <color theme="1"/>
      <name val="Gill Sans MT"/>
      <family val="2"/>
      <scheme val="minor"/>
    </font>
    <font>
      <b/>
      <sz val="12"/>
      <name val="Gill Sans MT"/>
      <family val="2"/>
      <scheme val="minor"/>
    </font>
    <font>
      <b/>
      <sz val="22"/>
      <color theme="1"/>
      <name val="Gill Sans MT"/>
      <family val="2"/>
      <scheme val="minor"/>
    </font>
    <font>
      <sz val="12"/>
      <color theme="1"/>
      <name val="Gill Sans MT"/>
      <family val="2"/>
      <scheme val="minor"/>
    </font>
    <font>
      <b/>
      <sz val="12"/>
      <name val="Aptos Narrow"/>
      <family val="2"/>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7">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3">
    <xf numFmtId="0" fontId="0" fillId="0" borderId="0" xfId="0"/>
    <xf numFmtId="0" fontId="0" fillId="2" borderId="0" xfId="0" applyFill="1"/>
    <xf numFmtId="0" fontId="0" fillId="0" borderId="0" xfId="0" pivotButton="1"/>
    <xf numFmtId="0" fontId="0" fillId="0" borderId="0" xfId="0" applyAlignment="1">
      <alignment horizontal="left"/>
    </xf>
    <xf numFmtId="164" fontId="0" fillId="0" borderId="0" xfId="1" applyNumberFormat="1" applyFont="1"/>
    <xf numFmtId="0" fontId="2" fillId="0" borderId="0" xfId="0" applyFont="1"/>
    <xf numFmtId="164" fontId="2" fillId="0" borderId="0" xfId="1" applyNumberFormat="1" applyFont="1"/>
    <xf numFmtId="164" fontId="0" fillId="0" borderId="0" xfId="0" applyNumberFormat="1"/>
    <xf numFmtId="10" fontId="2" fillId="0" borderId="0" xfId="2" applyNumberFormat="1" applyFont="1"/>
    <xf numFmtId="10" fontId="0" fillId="0" borderId="0" xfId="2" applyNumberFormat="1" applyFont="1"/>
    <xf numFmtId="0" fontId="0" fillId="0" borderId="0" xfId="0" applyAlignment="1">
      <alignment horizontal="left" indent="1"/>
    </xf>
    <xf numFmtId="10" fontId="0" fillId="0" borderId="0" xfId="0" applyNumberFormat="1"/>
    <xf numFmtId="0" fontId="6" fillId="0" borderId="0" xfId="0" applyFont="1"/>
    <xf numFmtId="0" fontId="6" fillId="0" borderId="0" xfId="0" applyFont="1" applyAlignment="1">
      <alignment vertical="center"/>
    </xf>
    <xf numFmtId="0" fontId="3" fillId="0" borderId="0" xfId="0" applyFont="1" applyAlignment="1">
      <alignment horizontal="center" vertical="center"/>
    </xf>
    <xf numFmtId="0" fontId="5" fillId="3" borderId="0" xfId="0" applyFont="1" applyFill="1" applyAlignment="1">
      <alignment vertical="center"/>
    </xf>
    <xf numFmtId="0" fontId="3" fillId="3" borderId="0" xfId="0" applyFont="1" applyFill="1"/>
    <xf numFmtId="0" fontId="3" fillId="3" borderId="5" xfId="0" applyFont="1" applyFill="1" applyBorder="1"/>
    <xf numFmtId="164" fontId="4" fillId="3" borderId="6" xfId="1" applyNumberFormat="1" applyFont="1" applyFill="1" applyBorder="1" applyAlignment="1">
      <alignment horizontal="left"/>
    </xf>
    <xf numFmtId="0" fontId="3" fillId="3" borderId="2" xfId="0" applyFont="1" applyFill="1" applyBorder="1" applyAlignment="1">
      <alignment horizontal="center"/>
    </xf>
    <xf numFmtId="0" fontId="2" fillId="3" borderId="2" xfId="0" applyFont="1" applyFill="1" applyBorder="1" applyAlignment="1">
      <alignment vertical="center" wrapText="1"/>
    </xf>
    <xf numFmtId="0" fontId="3" fillId="3" borderId="6" xfId="0" applyFont="1" applyFill="1" applyBorder="1"/>
    <xf numFmtId="0" fontId="3" fillId="3" borderId="2" xfId="0" applyFont="1" applyFill="1" applyBorder="1"/>
    <xf numFmtId="0" fontId="7" fillId="3" borderId="2" xfId="0" applyFont="1" applyFill="1" applyBorder="1"/>
    <xf numFmtId="164" fontId="7" fillId="3" borderId="6" xfId="1" applyNumberFormat="1" applyFont="1" applyFill="1" applyBorder="1" applyAlignment="1">
      <alignment horizontal="left"/>
    </xf>
    <xf numFmtId="0" fontId="3" fillId="3" borderId="3" xfId="0" applyFont="1" applyFill="1" applyBorder="1"/>
    <xf numFmtId="0" fontId="3" fillId="3" borderId="3" xfId="0" applyFont="1" applyFill="1" applyBorder="1" applyAlignment="1">
      <alignment horizontal="center"/>
    </xf>
    <xf numFmtId="0" fontId="3" fillId="3" borderId="4" xfId="0" applyFont="1" applyFill="1" applyBorder="1" applyAlignment="1">
      <alignment horizontal="center"/>
    </xf>
    <xf numFmtId="0" fontId="5" fillId="3" borderId="0" xfId="0" applyFont="1" applyFill="1" applyAlignment="1">
      <alignment horizontal="center" vertical="center"/>
    </xf>
    <xf numFmtId="0" fontId="3" fillId="3" borderId="1"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0" fillId="0" borderId="0" xfId="0" applyNumberForma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Actual Expenses Vs Revenue</a:t>
            </a:r>
          </a:p>
        </c:rich>
      </c:tx>
      <c:layout>
        <c:manualLayout>
          <c:xMode val="edge"/>
          <c:yMode val="edge"/>
          <c:x val="0.18432281689185753"/>
          <c:y val="3.8885328086025371E-2"/>
        </c:manualLayout>
      </c:layout>
      <c:overlay val="0"/>
      <c:spPr>
        <a:solidFill>
          <a:schemeClr val="accent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tint val="77000"/>
            </a:schemeClr>
          </a:solidFill>
          <a:ln w="19050">
            <a:solidFill>
              <a:schemeClr val="lt1"/>
            </a:solidFill>
          </a:ln>
          <a:effectLst/>
        </c:spPr>
      </c:pivotFmt>
      <c:pivotFmt>
        <c:idx val="8"/>
        <c:spPr>
          <a:solidFill>
            <a:schemeClr val="accent2">
              <a:shade val="76000"/>
            </a:schemeClr>
          </a:solidFill>
          <a:ln w="19050">
            <a:solidFill>
              <a:schemeClr val="lt1"/>
            </a:solidFill>
          </a:ln>
          <a:effectLst/>
        </c:spPr>
      </c:pivotFmt>
    </c:pivotFmts>
    <c:plotArea>
      <c:layout>
        <c:manualLayout>
          <c:layoutTarget val="inner"/>
          <c:xMode val="edge"/>
          <c:yMode val="edge"/>
          <c:x val="0.27355773305982672"/>
          <c:y val="0.19414597205155318"/>
          <c:w val="0.51416959412229213"/>
          <c:h val="0.72781862681993659"/>
        </c:manualLayout>
      </c:layout>
      <c:doughnutChart>
        <c:varyColors val="1"/>
        <c:dLbls>
          <c:showLegendKey val="0"/>
          <c:showVal val="0"/>
          <c:showCatName val="1"/>
          <c:showSerName val="0"/>
          <c:showPercent val="1"/>
          <c:showBubbleSize val="0"/>
          <c:showLeaderLines val="0"/>
        </c:dLbls>
        <c:firstSliceAng val="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Variance Analysis.xlsx]PIVOT TABLES!Budget VS Actual</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TABLES'!$B$3</c:f>
              <c:strCache>
                <c:ptCount val="1"/>
                <c:pt idx="0">
                  <c:v>Sum of Budget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_(* #,##0_);_(* \(#,##0\);_(* "-"??_);_(@_)</c:formatCode>
                <c:ptCount val="12"/>
                <c:pt idx="0">
                  <c:v>1813818</c:v>
                </c:pt>
                <c:pt idx="1">
                  <c:v>1787615</c:v>
                </c:pt>
                <c:pt idx="2">
                  <c:v>2066678</c:v>
                </c:pt>
                <c:pt idx="3">
                  <c:v>2143632</c:v>
                </c:pt>
                <c:pt idx="4">
                  <c:v>2283168</c:v>
                </c:pt>
                <c:pt idx="5">
                  <c:v>2354205</c:v>
                </c:pt>
                <c:pt idx="6">
                  <c:v>2068397</c:v>
                </c:pt>
                <c:pt idx="7">
                  <c:v>1982985</c:v>
                </c:pt>
                <c:pt idx="8">
                  <c:v>2325460</c:v>
                </c:pt>
                <c:pt idx="9">
                  <c:v>2439617</c:v>
                </c:pt>
                <c:pt idx="10">
                  <c:v>2525028</c:v>
                </c:pt>
                <c:pt idx="11">
                  <c:v>3607402</c:v>
                </c:pt>
              </c:numCache>
            </c:numRef>
          </c:val>
          <c:smooth val="0"/>
          <c:extLst>
            <c:ext xmlns:c16="http://schemas.microsoft.com/office/drawing/2014/chart" uri="{C3380CC4-5D6E-409C-BE32-E72D297353CC}">
              <c16:uniqueId val="{00000000-161F-4989-BC15-A414A9931F40}"/>
            </c:ext>
          </c:extLst>
        </c:ser>
        <c:ser>
          <c:idx val="1"/>
          <c:order val="1"/>
          <c:tx>
            <c:strRef>
              <c:f>'PIVOT TABLES'!$C$3</c:f>
              <c:strCache>
                <c:ptCount val="1"/>
                <c:pt idx="0">
                  <c:v>Sum of Actual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TABLES'!$C$4:$C$16</c:f>
              <c:numCache>
                <c:formatCode>_(* #,##0_);_(* \(#,##0\);_(* "-"??_);_(@_)</c:formatCode>
                <c:ptCount val="12"/>
                <c:pt idx="0">
                  <c:v>1838630</c:v>
                </c:pt>
                <c:pt idx="1">
                  <c:v>1786958</c:v>
                </c:pt>
                <c:pt idx="2">
                  <c:v>2084277</c:v>
                </c:pt>
                <c:pt idx="3">
                  <c:v>2159201</c:v>
                </c:pt>
                <c:pt idx="4">
                  <c:v>2310651</c:v>
                </c:pt>
                <c:pt idx="5">
                  <c:v>2340096</c:v>
                </c:pt>
                <c:pt idx="6">
                  <c:v>2101147</c:v>
                </c:pt>
                <c:pt idx="7">
                  <c:v>1976577</c:v>
                </c:pt>
                <c:pt idx="8">
                  <c:v>2316795</c:v>
                </c:pt>
                <c:pt idx="9">
                  <c:v>2446789</c:v>
                </c:pt>
                <c:pt idx="10">
                  <c:v>2581030</c:v>
                </c:pt>
                <c:pt idx="11">
                  <c:v>3777516</c:v>
                </c:pt>
              </c:numCache>
            </c:numRef>
          </c:val>
          <c:smooth val="0"/>
          <c:extLst>
            <c:ext xmlns:c16="http://schemas.microsoft.com/office/drawing/2014/chart" uri="{C3380CC4-5D6E-409C-BE32-E72D297353CC}">
              <c16:uniqueId val="{00000002-161F-4989-BC15-A414A9931F40}"/>
            </c:ext>
          </c:extLst>
        </c:ser>
        <c:dLbls>
          <c:showLegendKey val="0"/>
          <c:showVal val="0"/>
          <c:showCatName val="0"/>
          <c:showSerName val="0"/>
          <c:showPercent val="0"/>
          <c:showBubbleSize val="0"/>
        </c:dLbls>
        <c:marker val="1"/>
        <c:smooth val="0"/>
        <c:axId val="1371591920"/>
        <c:axId val="1371592400"/>
      </c:lineChart>
      <c:catAx>
        <c:axId val="137159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592400"/>
        <c:crosses val="autoZero"/>
        <c:auto val="1"/>
        <c:lblAlgn val="ctr"/>
        <c:lblOffset val="100"/>
        <c:noMultiLvlLbl val="0"/>
      </c:catAx>
      <c:valAx>
        <c:axId val="13715924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59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Variance Analysis.xlsx]PIVOT TABLES!PivotTable7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solidFill>
              <a:schemeClr val="accent1"/>
            </a:solidFill>
            <a:ln>
              <a:noFill/>
            </a:ln>
            <a:effectLst/>
          </c:spPr>
          <c:invertIfNegative val="0"/>
          <c:cat>
            <c:strRef>
              <c:f>'PIVOT TABLES'!$A$21:$A$32</c:f>
              <c:strCache>
                <c:ptCount val="11"/>
                <c:pt idx="0">
                  <c:v>Supply Chain</c:v>
                </c:pt>
                <c:pt idx="1">
                  <c:v>Legal &amp; Compliance</c:v>
                </c:pt>
                <c:pt idx="2">
                  <c:v>Information Technology</c:v>
                </c:pt>
                <c:pt idx="3">
                  <c:v>Human Resources</c:v>
                </c:pt>
                <c:pt idx="4">
                  <c:v>Finance &amp; Admin</c:v>
                </c:pt>
                <c:pt idx="5">
                  <c:v>Customer Success</c:v>
                </c:pt>
                <c:pt idx="6">
                  <c:v>Operations</c:v>
                </c:pt>
                <c:pt idx="7">
                  <c:v>Executive Office</c:v>
                </c:pt>
                <c:pt idx="8">
                  <c:v>Research &amp; Development</c:v>
                </c:pt>
                <c:pt idx="9">
                  <c:v>Sales &amp; Marketing</c:v>
                </c:pt>
                <c:pt idx="10">
                  <c:v>Corporate</c:v>
                </c:pt>
              </c:strCache>
            </c:strRef>
          </c:cat>
          <c:val>
            <c:numRef>
              <c:f>'PIVOT TABLES'!$B$21:$B$32</c:f>
              <c:numCache>
                <c:formatCode>_(* #,##0_);_(* \(#,##0\);_(* "-"??_);_(@_)</c:formatCode>
                <c:ptCount val="11"/>
                <c:pt idx="0">
                  <c:v>-14060</c:v>
                </c:pt>
                <c:pt idx="1">
                  <c:v>-8284</c:v>
                </c:pt>
                <c:pt idx="2">
                  <c:v>-4461</c:v>
                </c:pt>
                <c:pt idx="3">
                  <c:v>-3335</c:v>
                </c:pt>
                <c:pt idx="4">
                  <c:v>-3119</c:v>
                </c:pt>
                <c:pt idx="5">
                  <c:v>-2567</c:v>
                </c:pt>
                <c:pt idx="6">
                  <c:v>-1941</c:v>
                </c:pt>
                <c:pt idx="7">
                  <c:v>4198</c:v>
                </c:pt>
                <c:pt idx="8">
                  <c:v>8708</c:v>
                </c:pt>
                <c:pt idx="9">
                  <c:v>30413</c:v>
                </c:pt>
                <c:pt idx="10">
                  <c:v>316110</c:v>
                </c:pt>
              </c:numCache>
            </c:numRef>
          </c:val>
          <c:extLst>
            <c:ext xmlns:c16="http://schemas.microsoft.com/office/drawing/2014/chart" uri="{C3380CC4-5D6E-409C-BE32-E72D297353CC}">
              <c16:uniqueId val="{0000000F-A5E9-4D65-8F5E-40F4C1CE6607}"/>
            </c:ext>
          </c:extLst>
        </c:ser>
        <c:dLbls>
          <c:showLegendKey val="0"/>
          <c:showVal val="0"/>
          <c:showCatName val="0"/>
          <c:showSerName val="0"/>
          <c:showPercent val="0"/>
          <c:showBubbleSize val="0"/>
        </c:dLbls>
        <c:gapWidth val="182"/>
        <c:axId val="1371615920"/>
        <c:axId val="1371624080"/>
      </c:barChart>
      <c:catAx>
        <c:axId val="137161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24080"/>
        <c:crosses val="autoZero"/>
        <c:auto val="1"/>
        <c:lblAlgn val="ctr"/>
        <c:lblOffset val="100"/>
        <c:noMultiLvlLbl val="0"/>
      </c:catAx>
      <c:valAx>
        <c:axId val="137162408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1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Variance Analysis.xlsx]PIVOT TABLES!Var By Quarter</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TABLES'!$B$36:$B$37</c:f>
              <c:strCache>
                <c:ptCount val="1"/>
                <c:pt idx="0">
                  <c:v>Favourable</c:v>
                </c:pt>
              </c:strCache>
            </c:strRef>
          </c:tx>
          <c:spPr>
            <a:solidFill>
              <a:schemeClr val="accent1"/>
            </a:solidFill>
            <a:ln>
              <a:noFill/>
            </a:ln>
            <a:effectLst/>
          </c:spPr>
          <c:invertIfNegative val="0"/>
          <c:cat>
            <c:strRef>
              <c:f>'PIVOT TABLES'!$A$38:$A$42</c:f>
              <c:strCache>
                <c:ptCount val="4"/>
                <c:pt idx="0">
                  <c:v>Q1</c:v>
                </c:pt>
                <c:pt idx="1">
                  <c:v>Q2</c:v>
                </c:pt>
                <c:pt idx="2">
                  <c:v>Q3</c:v>
                </c:pt>
                <c:pt idx="3">
                  <c:v>Q4</c:v>
                </c:pt>
              </c:strCache>
            </c:strRef>
          </c:cat>
          <c:val>
            <c:numRef>
              <c:f>'PIVOT TABLES'!$B$38:$B$42</c:f>
              <c:numCache>
                <c:formatCode>General</c:formatCode>
                <c:ptCount val="4"/>
                <c:pt idx="0">
                  <c:v>100</c:v>
                </c:pt>
                <c:pt idx="1">
                  <c:v>109</c:v>
                </c:pt>
                <c:pt idx="2">
                  <c:v>108</c:v>
                </c:pt>
                <c:pt idx="3">
                  <c:v>100</c:v>
                </c:pt>
              </c:numCache>
            </c:numRef>
          </c:val>
          <c:extLst>
            <c:ext xmlns:c16="http://schemas.microsoft.com/office/drawing/2014/chart" uri="{C3380CC4-5D6E-409C-BE32-E72D297353CC}">
              <c16:uniqueId val="{00000000-0B74-4181-A7DE-60F99EBA40F9}"/>
            </c:ext>
          </c:extLst>
        </c:ser>
        <c:ser>
          <c:idx val="1"/>
          <c:order val="1"/>
          <c:tx>
            <c:strRef>
              <c:f>'PIVOT TABLES'!$C$36:$C$37</c:f>
              <c:strCache>
                <c:ptCount val="1"/>
                <c:pt idx="0">
                  <c:v>Unfavourable</c:v>
                </c:pt>
              </c:strCache>
            </c:strRef>
          </c:tx>
          <c:spPr>
            <a:solidFill>
              <a:schemeClr val="accent2"/>
            </a:solidFill>
            <a:ln>
              <a:noFill/>
            </a:ln>
            <a:effectLst/>
          </c:spPr>
          <c:invertIfNegative val="0"/>
          <c:cat>
            <c:strRef>
              <c:f>'PIVOT TABLES'!$A$38:$A$42</c:f>
              <c:strCache>
                <c:ptCount val="4"/>
                <c:pt idx="0">
                  <c:v>Q1</c:v>
                </c:pt>
                <c:pt idx="1">
                  <c:v>Q2</c:v>
                </c:pt>
                <c:pt idx="2">
                  <c:v>Q3</c:v>
                </c:pt>
                <c:pt idx="3">
                  <c:v>Q4</c:v>
                </c:pt>
              </c:strCache>
            </c:strRef>
          </c:cat>
          <c:val>
            <c:numRef>
              <c:f>'PIVOT TABLES'!$C$38:$C$42</c:f>
              <c:numCache>
                <c:formatCode>General</c:formatCode>
                <c:ptCount val="4"/>
                <c:pt idx="0">
                  <c:v>104</c:v>
                </c:pt>
                <c:pt idx="1">
                  <c:v>95</c:v>
                </c:pt>
                <c:pt idx="2">
                  <c:v>96</c:v>
                </c:pt>
                <c:pt idx="3">
                  <c:v>104</c:v>
                </c:pt>
              </c:numCache>
            </c:numRef>
          </c:val>
          <c:extLst>
            <c:ext xmlns:c16="http://schemas.microsoft.com/office/drawing/2014/chart" uri="{C3380CC4-5D6E-409C-BE32-E72D297353CC}">
              <c16:uniqueId val="{00000000-EACE-4369-B4B8-84A9002372AF}"/>
            </c:ext>
          </c:extLst>
        </c:ser>
        <c:dLbls>
          <c:showLegendKey val="0"/>
          <c:showVal val="0"/>
          <c:showCatName val="0"/>
          <c:showSerName val="0"/>
          <c:showPercent val="0"/>
          <c:showBubbleSize val="0"/>
        </c:dLbls>
        <c:gapWidth val="219"/>
        <c:overlap val="-27"/>
        <c:axId val="1454272816"/>
        <c:axId val="1454273776"/>
      </c:barChart>
      <c:catAx>
        <c:axId val="145427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73776"/>
        <c:crosses val="autoZero"/>
        <c:auto val="1"/>
        <c:lblAlgn val="ctr"/>
        <c:lblOffset val="100"/>
        <c:noMultiLvlLbl val="0"/>
      </c:catAx>
      <c:valAx>
        <c:axId val="145427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7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Variance Analysis.xlsx]PIVOT TABLES!Variance Status</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TABLES'!$B$49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57-4557-8E77-AFAF4D3E6E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57-4557-8E77-AFAF4D3E6E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57-4557-8E77-AFAF4D3E6E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57-4557-8E77-AFAF4D3E6E69}"/>
              </c:ext>
            </c:extLst>
          </c:dPt>
          <c:cat>
            <c:multiLvlStrRef>
              <c:f>'PIVOT TABLES'!$A$50:$A$56</c:f>
              <c:multiLvlStrCache>
                <c:ptCount val="4"/>
                <c:lvl>
                  <c:pt idx="0">
                    <c:v>Favourable</c:v>
                  </c:pt>
                  <c:pt idx="1">
                    <c:v>Unfavourable</c:v>
                  </c:pt>
                  <c:pt idx="2">
                    <c:v>Favourable</c:v>
                  </c:pt>
                  <c:pt idx="3">
                    <c:v>Unfavourable</c:v>
                  </c:pt>
                </c:lvl>
                <c:lvl>
                  <c:pt idx="0">
                    <c:v>Expenses</c:v>
                  </c:pt>
                  <c:pt idx="2">
                    <c:v>Revenue</c:v>
                  </c:pt>
                </c:lvl>
              </c:multiLvlStrCache>
            </c:multiLvlStrRef>
          </c:cat>
          <c:val>
            <c:numRef>
              <c:f>'PIVOT TABLES'!$B$50:$B$56</c:f>
              <c:numCache>
                <c:formatCode>_(* #,##0_);_(* \(#,##0\);_(* "-"??_);_(@_)</c:formatCode>
                <c:ptCount val="4"/>
                <c:pt idx="0">
                  <c:v>-172514</c:v>
                </c:pt>
                <c:pt idx="1">
                  <c:v>178066</c:v>
                </c:pt>
                <c:pt idx="2">
                  <c:v>431642</c:v>
                </c:pt>
                <c:pt idx="3">
                  <c:v>-115532</c:v>
                </c:pt>
              </c:numCache>
            </c:numRef>
          </c:val>
          <c:extLst>
            <c:ext xmlns:c16="http://schemas.microsoft.com/office/drawing/2014/chart" uri="{C3380CC4-5D6E-409C-BE32-E72D297353CC}">
              <c16:uniqueId val="{00000000-41DC-4AB1-B8F0-1E8FA71F8E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Variance Analysis.xlsx]PIVOT TABLES!Line items</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strRef>
              <c:f>'PIVOT TABLES'!$B$62:$B$63</c:f>
              <c:strCache>
                <c:ptCount val="1"/>
                <c:pt idx="0">
                  <c:v>Favourable</c:v>
                </c:pt>
              </c:strCache>
            </c:strRef>
          </c:tx>
          <c:spPr>
            <a:solidFill>
              <a:schemeClr val="accent1"/>
            </a:solidFill>
            <a:ln>
              <a:noFill/>
            </a:ln>
            <a:effectLst/>
          </c:spPr>
          <c:invertIfNegative val="0"/>
          <c:cat>
            <c:strRef>
              <c:f>'PIVOT TABLES'!$A$64:$A$69</c:f>
              <c:strCache>
                <c:ptCount val="5"/>
                <c:pt idx="0">
                  <c:v>Consulting Revenue</c:v>
                </c:pt>
                <c:pt idx="1">
                  <c:v>Licensing Revenue</c:v>
                </c:pt>
                <c:pt idx="2">
                  <c:v>Product Revenue</c:v>
                </c:pt>
                <c:pt idx="3">
                  <c:v>Service Revenue</c:v>
                </c:pt>
                <c:pt idx="4">
                  <c:v>Subscription Revenue</c:v>
                </c:pt>
              </c:strCache>
            </c:strRef>
          </c:cat>
          <c:val>
            <c:numRef>
              <c:f>'PIVOT TABLES'!$B$64:$B$69</c:f>
              <c:numCache>
                <c:formatCode>_(* #,##0_);_(* \(#,##0\);_(* "-"??_);_(@_)</c:formatCode>
                <c:ptCount val="5"/>
                <c:pt idx="0">
                  <c:v>44767</c:v>
                </c:pt>
                <c:pt idx="1">
                  <c:v>35481</c:v>
                </c:pt>
                <c:pt idx="2">
                  <c:v>172206</c:v>
                </c:pt>
                <c:pt idx="3">
                  <c:v>75496</c:v>
                </c:pt>
                <c:pt idx="4">
                  <c:v>94491</c:v>
                </c:pt>
              </c:numCache>
            </c:numRef>
          </c:val>
          <c:extLst>
            <c:ext xmlns:c16="http://schemas.microsoft.com/office/drawing/2014/chart" uri="{C3380CC4-5D6E-409C-BE32-E72D297353CC}">
              <c16:uniqueId val="{00000000-394E-4BEE-A31C-D07685D06ABB}"/>
            </c:ext>
          </c:extLst>
        </c:ser>
        <c:ser>
          <c:idx val="1"/>
          <c:order val="1"/>
          <c:tx>
            <c:strRef>
              <c:f>'PIVOT TABLES'!$C$62:$C$63</c:f>
              <c:strCache>
                <c:ptCount val="1"/>
                <c:pt idx="0">
                  <c:v>Unfavourable</c:v>
                </c:pt>
              </c:strCache>
            </c:strRef>
          </c:tx>
          <c:spPr>
            <a:solidFill>
              <a:schemeClr val="accent2"/>
            </a:solidFill>
            <a:ln>
              <a:noFill/>
            </a:ln>
            <a:effectLst/>
          </c:spPr>
          <c:invertIfNegative val="0"/>
          <c:cat>
            <c:strRef>
              <c:f>'PIVOT TABLES'!$A$64:$A$69</c:f>
              <c:strCache>
                <c:ptCount val="5"/>
                <c:pt idx="0">
                  <c:v>Consulting Revenue</c:v>
                </c:pt>
                <c:pt idx="1">
                  <c:v>Licensing Revenue</c:v>
                </c:pt>
                <c:pt idx="2">
                  <c:v>Product Revenue</c:v>
                </c:pt>
                <c:pt idx="3">
                  <c:v>Service Revenue</c:v>
                </c:pt>
                <c:pt idx="4">
                  <c:v>Subscription Revenue</c:v>
                </c:pt>
              </c:strCache>
            </c:strRef>
          </c:cat>
          <c:val>
            <c:numRef>
              <c:f>'PIVOT TABLES'!$C$64:$C$69</c:f>
              <c:numCache>
                <c:formatCode>_(* #,##0_);_(* \(#,##0\);_(* "-"??_);_(@_)</c:formatCode>
                <c:ptCount val="5"/>
                <c:pt idx="0">
                  <c:v>-5639</c:v>
                </c:pt>
                <c:pt idx="1">
                  <c:v>-5260</c:v>
                </c:pt>
                <c:pt idx="2">
                  <c:v>-25667</c:v>
                </c:pt>
                <c:pt idx="3">
                  <c:v>-19939</c:v>
                </c:pt>
                <c:pt idx="4">
                  <c:v>-57297</c:v>
                </c:pt>
              </c:numCache>
            </c:numRef>
          </c:val>
          <c:extLst>
            <c:ext xmlns:c16="http://schemas.microsoft.com/office/drawing/2014/chart" uri="{C3380CC4-5D6E-409C-BE32-E72D297353CC}">
              <c16:uniqueId val="{00000000-7802-4FEE-BD59-8FA4352D0186}"/>
            </c:ext>
          </c:extLst>
        </c:ser>
        <c:dLbls>
          <c:showLegendKey val="0"/>
          <c:showVal val="0"/>
          <c:showCatName val="0"/>
          <c:showSerName val="0"/>
          <c:showPercent val="0"/>
          <c:showBubbleSize val="0"/>
        </c:dLbls>
        <c:gapWidth val="182"/>
        <c:axId val="1467416192"/>
        <c:axId val="1467421952"/>
      </c:barChart>
      <c:catAx>
        <c:axId val="146741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421952"/>
        <c:crosses val="autoZero"/>
        <c:auto val="1"/>
        <c:lblAlgn val="ctr"/>
        <c:lblOffset val="100"/>
        <c:noMultiLvlLbl val="0"/>
      </c:catAx>
      <c:valAx>
        <c:axId val="146742195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41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Variance Analysis.xlsx]PIVOT TABLES!PivotTable16</c:name>
    <c:fmtId val="29"/>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TABLES'!$B$72</c:f>
              <c:strCache>
                <c:ptCount val="1"/>
                <c:pt idx="0">
                  <c:v>Sum of Actual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CD-4E90-9B77-C739C2704C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CD-4E90-9B77-C739C2704C0B}"/>
              </c:ext>
            </c:extLst>
          </c:dPt>
          <c:cat>
            <c:strRef>
              <c:f>'PIVOT TABLES'!$A$73:$A$75</c:f>
              <c:strCache>
                <c:ptCount val="2"/>
                <c:pt idx="0">
                  <c:v>Expenses</c:v>
                </c:pt>
                <c:pt idx="1">
                  <c:v>Revenue</c:v>
                </c:pt>
              </c:strCache>
            </c:strRef>
          </c:cat>
          <c:val>
            <c:numRef>
              <c:f>'PIVOT TABLES'!$B$73:$B$75</c:f>
              <c:numCache>
                <c:formatCode>_(* #,##0_);_(* \(#,##0\);_(* "-"??_);_(@_)</c:formatCode>
                <c:ptCount val="2"/>
                <c:pt idx="0">
                  <c:v>17253557</c:v>
                </c:pt>
                <c:pt idx="1">
                  <c:v>10466110</c:v>
                </c:pt>
              </c:numCache>
            </c:numRef>
          </c:val>
          <c:extLst>
            <c:ext xmlns:c16="http://schemas.microsoft.com/office/drawing/2014/chart" uri="{C3380CC4-5D6E-409C-BE32-E72D297353CC}">
              <c16:uniqueId val="{00000000-4FC1-4197-86AC-3B9F0A3EFE4B}"/>
            </c:ext>
          </c:extLst>
        </c:ser>
        <c:ser>
          <c:idx val="1"/>
          <c:order val="1"/>
          <c:tx>
            <c:strRef>
              <c:f>'PIVOT TABLES'!$C$72</c:f>
              <c:strCache>
                <c:ptCount val="1"/>
                <c:pt idx="0">
                  <c:v>Sum of Budget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TABLES'!$A$73:$A$75</c:f>
              <c:strCache>
                <c:ptCount val="2"/>
                <c:pt idx="0">
                  <c:v>Expenses</c:v>
                </c:pt>
                <c:pt idx="1">
                  <c:v>Revenue</c:v>
                </c:pt>
              </c:strCache>
            </c:strRef>
          </c:cat>
          <c:val>
            <c:numRef>
              <c:f>'PIVOT TABLES'!$C$73:$C$75</c:f>
              <c:numCache>
                <c:formatCode>_(* #,##0_);_(* \(#,##0\);_(* "-"??_);_(@_)</c:formatCode>
                <c:ptCount val="2"/>
                <c:pt idx="0">
                  <c:v>17248005</c:v>
                </c:pt>
                <c:pt idx="1">
                  <c:v>10150000</c:v>
                </c:pt>
              </c:numCache>
            </c:numRef>
          </c:val>
          <c:extLst>
            <c:ext xmlns:c16="http://schemas.microsoft.com/office/drawing/2014/chart" uri="{C3380CC4-5D6E-409C-BE32-E72D297353CC}">
              <c16:uniqueId val="{00000004-2FB0-4219-8D07-07FF75B9B6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Variance Analysis.xlsx]PIVOT TABLES!Var by Dept</c:name>
    <c:fmtId val="1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657661651045"/>
          <c:y val="0.36529945120496299"/>
          <c:w val="0.3532046518750151"/>
          <c:h val="0.59682176091624906"/>
        </c:manualLayout>
      </c:layout>
      <c:barChart>
        <c:barDir val="bar"/>
        <c:grouping val="stacked"/>
        <c:varyColors val="0"/>
        <c:ser>
          <c:idx val="0"/>
          <c:order val="0"/>
          <c:tx>
            <c:strRef>
              <c:f>'PIVOT TABLES'!$B$83:$B$84</c:f>
              <c:strCache>
                <c:ptCount val="1"/>
                <c:pt idx="0">
                  <c:v>Favourable</c:v>
                </c:pt>
              </c:strCache>
            </c:strRef>
          </c:tx>
          <c:spPr>
            <a:solidFill>
              <a:schemeClr val="accent1"/>
            </a:solidFill>
            <a:ln w="19050">
              <a:solidFill>
                <a:schemeClr val="lt1"/>
              </a:solidFill>
            </a:ln>
            <a:effectLst/>
          </c:spPr>
          <c:invertIfNegative val="0"/>
          <c:cat>
            <c:strRef>
              <c:f>'PIVOT TABLES'!$A$85:$A$90</c:f>
              <c:strCache>
                <c:ptCount val="5"/>
                <c:pt idx="0">
                  <c:v>Corporate</c:v>
                </c:pt>
                <c:pt idx="1">
                  <c:v>Executive Office</c:v>
                </c:pt>
                <c:pt idx="2">
                  <c:v>Operations</c:v>
                </c:pt>
                <c:pt idx="3">
                  <c:v>Research &amp; Development</c:v>
                </c:pt>
                <c:pt idx="4">
                  <c:v>Sales &amp; Marketing</c:v>
                </c:pt>
              </c:strCache>
            </c:strRef>
          </c:cat>
          <c:val>
            <c:numRef>
              <c:f>'PIVOT TABLES'!$B$85:$B$90</c:f>
              <c:numCache>
                <c:formatCode>_(* #,##0_);_(* \(#,##0\);_(* "-"??_);_(@_)</c:formatCode>
                <c:ptCount val="5"/>
                <c:pt idx="0">
                  <c:v>431642</c:v>
                </c:pt>
                <c:pt idx="1">
                  <c:v>-8363</c:v>
                </c:pt>
                <c:pt idx="2">
                  <c:v>-37172</c:v>
                </c:pt>
                <c:pt idx="3">
                  <c:v>-14620</c:v>
                </c:pt>
                <c:pt idx="4">
                  <c:v>-15482</c:v>
                </c:pt>
              </c:numCache>
            </c:numRef>
          </c:val>
          <c:extLst>
            <c:ext xmlns:c16="http://schemas.microsoft.com/office/drawing/2014/chart" uri="{C3380CC4-5D6E-409C-BE32-E72D297353CC}">
              <c16:uniqueId val="{00000000-2BB6-4DDB-AB6E-92C4D79D5D93}"/>
            </c:ext>
          </c:extLst>
        </c:ser>
        <c:ser>
          <c:idx val="1"/>
          <c:order val="1"/>
          <c:tx>
            <c:strRef>
              <c:f>'PIVOT TABLES'!$C$83:$C$84</c:f>
              <c:strCache>
                <c:ptCount val="1"/>
                <c:pt idx="0">
                  <c:v>Unfavourable</c:v>
                </c:pt>
              </c:strCache>
            </c:strRef>
          </c:tx>
          <c:spPr>
            <a:solidFill>
              <a:schemeClr val="accent2"/>
            </a:solidFill>
            <a:ln w="19050">
              <a:solidFill>
                <a:schemeClr val="lt1"/>
              </a:solidFill>
            </a:ln>
            <a:effectLst/>
          </c:spPr>
          <c:invertIfNegative val="0"/>
          <c:cat>
            <c:strRef>
              <c:f>'PIVOT TABLES'!$A$85:$A$90</c:f>
              <c:strCache>
                <c:ptCount val="5"/>
                <c:pt idx="0">
                  <c:v>Corporate</c:v>
                </c:pt>
                <c:pt idx="1">
                  <c:v>Executive Office</c:v>
                </c:pt>
                <c:pt idx="2">
                  <c:v>Operations</c:v>
                </c:pt>
                <c:pt idx="3">
                  <c:v>Research &amp; Development</c:v>
                </c:pt>
                <c:pt idx="4">
                  <c:v>Sales &amp; Marketing</c:v>
                </c:pt>
              </c:strCache>
            </c:strRef>
          </c:cat>
          <c:val>
            <c:numRef>
              <c:f>'PIVOT TABLES'!$C$85:$C$90</c:f>
              <c:numCache>
                <c:formatCode>_(* #,##0_);_(* \(#,##0\);_(* "-"??_);_(@_)</c:formatCode>
                <c:ptCount val="5"/>
                <c:pt idx="0">
                  <c:v>-115532</c:v>
                </c:pt>
                <c:pt idx="1">
                  <c:v>12561</c:v>
                </c:pt>
                <c:pt idx="2">
                  <c:v>35231</c:v>
                </c:pt>
                <c:pt idx="3">
                  <c:v>23328</c:v>
                </c:pt>
                <c:pt idx="4">
                  <c:v>45895</c:v>
                </c:pt>
              </c:numCache>
            </c:numRef>
          </c:val>
          <c:extLst>
            <c:ext xmlns:c16="http://schemas.microsoft.com/office/drawing/2014/chart" uri="{C3380CC4-5D6E-409C-BE32-E72D297353CC}">
              <c16:uniqueId val="{00000000-C054-4E35-9425-66FDE8460F30}"/>
            </c:ext>
          </c:extLst>
        </c:ser>
        <c:dLbls>
          <c:showLegendKey val="0"/>
          <c:showVal val="0"/>
          <c:showCatName val="0"/>
          <c:showSerName val="0"/>
          <c:showPercent val="0"/>
          <c:showBubbleSize val="0"/>
        </c:dLbls>
        <c:gapWidth val="150"/>
        <c:overlap val="100"/>
        <c:axId val="1580055008"/>
        <c:axId val="1580071808"/>
      </c:barChart>
      <c:valAx>
        <c:axId val="158007180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055008"/>
        <c:crosses val="autoZero"/>
        <c:crossBetween val="between"/>
      </c:valAx>
      <c:catAx>
        <c:axId val="1580055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0718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Variance Analysis.xlsx]PIVOT TABLES!Budget VS Actual</c:name>
    <c:fmtId val="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GB" b="1">
                <a:solidFill>
                  <a:schemeClr val="tx1">
                    <a:lumMod val="95000"/>
                    <a:lumOff val="5000"/>
                  </a:schemeClr>
                </a:solidFill>
              </a:rPr>
              <a:t>Total</a:t>
            </a:r>
            <a:r>
              <a:rPr lang="en-GB" b="1" baseline="0">
                <a:solidFill>
                  <a:schemeClr val="tx1">
                    <a:lumMod val="95000"/>
                    <a:lumOff val="5000"/>
                  </a:schemeClr>
                </a:solidFill>
              </a:rPr>
              <a:t> Budget Vs Actual</a:t>
            </a:r>
          </a:p>
        </c:rich>
      </c:tx>
      <c:layout>
        <c:manualLayout>
          <c:xMode val="edge"/>
          <c:yMode val="edge"/>
          <c:x val="0.17314049112826455"/>
          <c:y val="6.57844301203596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590216763445111E-2"/>
          <c:y val="0.21566300410167358"/>
          <c:w val="0.91973244147157196"/>
          <c:h val="0.46061833407947761"/>
        </c:manualLayout>
      </c:layout>
      <c:lineChart>
        <c:grouping val="stacked"/>
        <c:varyColors val="0"/>
        <c:ser>
          <c:idx val="0"/>
          <c:order val="0"/>
          <c:tx>
            <c:strRef>
              <c:f>'PIVOT TABLES'!$B$3</c:f>
              <c:strCache>
                <c:ptCount val="1"/>
                <c:pt idx="0">
                  <c:v>Sum of Budget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_(* #,##0_);_(* \(#,##0\);_(* "-"??_);_(@_)</c:formatCode>
                <c:ptCount val="12"/>
                <c:pt idx="0">
                  <c:v>1813818</c:v>
                </c:pt>
                <c:pt idx="1">
                  <c:v>1787615</c:v>
                </c:pt>
                <c:pt idx="2">
                  <c:v>2066678</c:v>
                </c:pt>
                <c:pt idx="3">
                  <c:v>2143632</c:v>
                </c:pt>
                <c:pt idx="4">
                  <c:v>2283168</c:v>
                </c:pt>
                <c:pt idx="5">
                  <c:v>2354205</c:v>
                </c:pt>
                <c:pt idx="6">
                  <c:v>2068397</c:v>
                </c:pt>
                <c:pt idx="7">
                  <c:v>1982985</c:v>
                </c:pt>
                <c:pt idx="8">
                  <c:v>2325460</c:v>
                </c:pt>
                <c:pt idx="9">
                  <c:v>2439617</c:v>
                </c:pt>
                <c:pt idx="10">
                  <c:v>2525028</c:v>
                </c:pt>
                <c:pt idx="11">
                  <c:v>3607402</c:v>
                </c:pt>
              </c:numCache>
            </c:numRef>
          </c:val>
          <c:smooth val="0"/>
          <c:extLst>
            <c:ext xmlns:c16="http://schemas.microsoft.com/office/drawing/2014/chart" uri="{C3380CC4-5D6E-409C-BE32-E72D297353CC}">
              <c16:uniqueId val="{00000000-41DD-44C9-AF21-BD4340881A8E}"/>
            </c:ext>
          </c:extLst>
        </c:ser>
        <c:ser>
          <c:idx val="1"/>
          <c:order val="1"/>
          <c:tx>
            <c:strRef>
              <c:f>'PIVOT TABLES'!$C$3</c:f>
              <c:strCache>
                <c:ptCount val="1"/>
                <c:pt idx="0">
                  <c:v>Sum of Actual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TABLES'!$C$4:$C$16</c:f>
              <c:numCache>
                <c:formatCode>_(* #,##0_);_(* \(#,##0\);_(* "-"??_);_(@_)</c:formatCode>
                <c:ptCount val="12"/>
                <c:pt idx="0">
                  <c:v>1838630</c:v>
                </c:pt>
                <c:pt idx="1">
                  <c:v>1786958</c:v>
                </c:pt>
                <c:pt idx="2">
                  <c:v>2084277</c:v>
                </c:pt>
                <c:pt idx="3">
                  <c:v>2159201</c:v>
                </c:pt>
                <c:pt idx="4">
                  <c:v>2310651</c:v>
                </c:pt>
                <c:pt idx="5">
                  <c:v>2340096</c:v>
                </c:pt>
                <c:pt idx="6">
                  <c:v>2101147</c:v>
                </c:pt>
                <c:pt idx="7">
                  <c:v>1976577</c:v>
                </c:pt>
                <c:pt idx="8">
                  <c:v>2316795</c:v>
                </c:pt>
                <c:pt idx="9">
                  <c:v>2446789</c:v>
                </c:pt>
                <c:pt idx="10">
                  <c:v>2581030</c:v>
                </c:pt>
                <c:pt idx="11">
                  <c:v>3777516</c:v>
                </c:pt>
              </c:numCache>
            </c:numRef>
          </c:val>
          <c:smooth val="0"/>
          <c:extLst>
            <c:ext xmlns:c16="http://schemas.microsoft.com/office/drawing/2014/chart" uri="{C3380CC4-5D6E-409C-BE32-E72D297353CC}">
              <c16:uniqueId val="{00000001-41DD-44C9-AF21-BD4340881A8E}"/>
            </c:ext>
          </c:extLst>
        </c:ser>
        <c:dLbls>
          <c:showLegendKey val="0"/>
          <c:showVal val="0"/>
          <c:showCatName val="0"/>
          <c:showSerName val="0"/>
          <c:showPercent val="0"/>
          <c:showBubbleSize val="0"/>
        </c:dLbls>
        <c:marker val="1"/>
        <c:smooth val="0"/>
        <c:axId val="1371591920"/>
        <c:axId val="1371592400"/>
      </c:lineChart>
      <c:catAx>
        <c:axId val="137159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71592400"/>
        <c:crosses val="autoZero"/>
        <c:auto val="1"/>
        <c:lblAlgn val="ctr"/>
        <c:lblOffset val="100"/>
        <c:noMultiLvlLbl val="0"/>
      </c:catAx>
      <c:valAx>
        <c:axId val="1371592400"/>
        <c:scaling>
          <c:orientation val="minMax"/>
        </c:scaling>
        <c:delete val="1"/>
        <c:axPos val="l"/>
        <c:numFmt formatCode="_(* #,##0_);_(* \(#,##0\);_(* &quot;-&quot;??_);_(@_)" sourceLinked="1"/>
        <c:majorTickMark val="none"/>
        <c:minorTickMark val="none"/>
        <c:tickLblPos val="nextTo"/>
        <c:crossAx val="1371591920"/>
        <c:crosses val="autoZero"/>
        <c:crossBetween val="between"/>
      </c:valAx>
      <c:spPr>
        <a:noFill/>
        <a:ln>
          <a:noFill/>
        </a:ln>
        <a:effectLst/>
      </c:spPr>
    </c:plotArea>
    <c:legend>
      <c:legendPos val="b"/>
      <c:layout>
        <c:manualLayout>
          <c:xMode val="edge"/>
          <c:yMode val="edge"/>
          <c:x val="0.13299090992004378"/>
          <c:y val="0.87483428639861083"/>
          <c:w val="0.75718420332593561"/>
          <c:h val="0.125165713601389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Variance Analysis.xlsx]PIVOT TABLES!Var By Quarter</c:name>
    <c:fmtId val="6"/>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GB" b="1">
                <a:solidFill>
                  <a:schemeClr val="tx1">
                    <a:lumMod val="95000"/>
                    <a:lumOff val="5000"/>
                  </a:schemeClr>
                </a:solidFill>
              </a:rPr>
              <a:t>Variance By</a:t>
            </a:r>
            <a:r>
              <a:rPr lang="en-GB" b="1" baseline="0">
                <a:solidFill>
                  <a:schemeClr val="tx1">
                    <a:lumMod val="95000"/>
                    <a:lumOff val="5000"/>
                  </a:schemeClr>
                </a:solidFill>
              </a:rPr>
              <a:t> Quarter</a:t>
            </a:r>
            <a:endParaRPr lang="en-GB" b="1">
              <a:solidFill>
                <a:schemeClr val="tx1">
                  <a:lumMod val="95000"/>
                  <a:lumOff val="5000"/>
                </a:schemeClr>
              </a:solidFill>
            </a:endParaRPr>
          </a:p>
        </c:rich>
      </c:tx>
      <c:layout>
        <c:manualLayout>
          <c:xMode val="edge"/>
          <c:yMode val="edge"/>
          <c:x val="0.19978585620722647"/>
          <c:y val="5.170391384900417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197586283023037E-2"/>
          <c:y val="0.22850625289485874"/>
          <c:w val="0.89046581794098145"/>
          <c:h val="0.52307723483094026"/>
        </c:manualLayout>
      </c:layout>
      <c:barChart>
        <c:barDir val="col"/>
        <c:grouping val="clustered"/>
        <c:varyColors val="0"/>
        <c:ser>
          <c:idx val="0"/>
          <c:order val="0"/>
          <c:tx>
            <c:strRef>
              <c:f>'PIVOT TABLES'!$B$36:$B$37</c:f>
              <c:strCache>
                <c:ptCount val="1"/>
                <c:pt idx="0">
                  <c:v>Favourable</c:v>
                </c:pt>
              </c:strCache>
            </c:strRef>
          </c:tx>
          <c:spPr>
            <a:solidFill>
              <a:schemeClr val="accent1"/>
            </a:solidFill>
            <a:ln>
              <a:noFill/>
            </a:ln>
            <a:effectLst/>
          </c:spPr>
          <c:invertIfNegative val="0"/>
          <c:cat>
            <c:strRef>
              <c:f>'PIVOT TABLES'!$A$38:$A$42</c:f>
              <c:strCache>
                <c:ptCount val="4"/>
                <c:pt idx="0">
                  <c:v>Q1</c:v>
                </c:pt>
                <c:pt idx="1">
                  <c:v>Q2</c:v>
                </c:pt>
                <c:pt idx="2">
                  <c:v>Q3</c:v>
                </c:pt>
                <c:pt idx="3">
                  <c:v>Q4</c:v>
                </c:pt>
              </c:strCache>
            </c:strRef>
          </c:cat>
          <c:val>
            <c:numRef>
              <c:f>'PIVOT TABLES'!$B$38:$B$42</c:f>
              <c:numCache>
                <c:formatCode>General</c:formatCode>
                <c:ptCount val="4"/>
                <c:pt idx="0">
                  <c:v>100</c:v>
                </c:pt>
                <c:pt idx="1">
                  <c:v>109</c:v>
                </c:pt>
                <c:pt idx="2">
                  <c:v>108</c:v>
                </c:pt>
                <c:pt idx="3">
                  <c:v>100</c:v>
                </c:pt>
              </c:numCache>
            </c:numRef>
          </c:val>
          <c:extLst>
            <c:ext xmlns:c16="http://schemas.microsoft.com/office/drawing/2014/chart" uri="{C3380CC4-5D6E-409C-BE32-E72D297353CC}">
              <c16:uniqueId val="{00000000-A930-4D46-B7FF-10EF28AB0B78}"/>
            </c:ext>
          </c:extLst>
        </c:ser>
        <c:ser>
          <c:idx val="1"/>
          <c:order val="1"/>
          <c:tx>
            <c:strRef>
              <c:f>'PIVOT TABLES'!$C$36:$C$37</c:f>
              <c:strCache>
                <c:ptCount val="1"/>
                <c:pt idx="0">
                  <c:v>Unfavourable</c:v>
                </c:pt>
              </c:strCache>
            </c:strRef>
          </c:tx>
          <c:spPr>
            <a:solidFill>
              <a:schemeClr val="accent2"/>
            </a:solidFill>
            <a:ln>
              <a:noFill/>
            </a:ln>
            <a:effectLst/>
          </c:spPr>
          <c:invertIfNegative val="0"/>
          <c:cat>
            <c:strRef>
              <c:f>'PIVOT TABLES'!$A$38:$A$42</c:f>
              <c:strCache>
                <c:ptCount val="4"/>
                <c:pt idx="0">
                  <c:v>Q1</c:v>
                </c:pt>
                <c:pt idx="1">
                  <c:v>Q2</c:v>
                </c:pt>
                <c:pt idx="2">
                  <c:v>Q3</c:v>
                </c:pt>
                <c:pt idx="3">
                  <c:v>Q4</c:v>
                </c:pt>
              </c:strCache>
            </c:strRef>
          </c:cat>
          <c:val>
            <c:numRef>
              <c:f>'PIVOT TABLES'!$C$38:$C$42</c:f>
              <c:numCache>
                <c:formatCode>General</c:formatCode>
                <c:ptCount val="4"/>
                <c:pt idx="0">
                  <c:v>104</c:v>
                </c:pt>
                <c:pt idx="1">
                  <c:v>95</c:v>
                </c:pt>
                <c:pt idx="2">
                  <c:v>96</c:v>
                </c:pt>
                <c:pt idx="3">
                  <c:v>104</c:v>
                </c:pt>
              </c:numCache>
            </c:numRef>
          </c:val>
          <c:extLst>
            <c:ext xmlns:c16="http://schemas.microsoft.com/office/drawing/2014/chart" uri="{C3380CC4-5D6E-409C-BE32-E72D297353CC}">
              <c16:uniqueId val="{00000001-67E8-4116-9826-083E4D3601E5}"/>
            </c:ext>
          </c:extLst>
        </c:ser>
        <c:dLbls>
          <c:showLegendKey val="0"/>
          <c:showVal val="0"/>
          <c:showCatName val="0"/>
          <c:showSerName val="0"/>
          <c:showPercent val="0"/>
          <c:showBubbleSize val="0"/>
        </c:dLbls>
        <c:gapWidth val="219"/>
        <c:overlap val="-27"/>
        <c:axId val="1454272816"/>
        <c:axId val="1454273776"/>
      </c:barChart>
      <c:catAx>
        <c:axId val="145427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54273776"/>
        <c:crosses val="autoZero"/>
        <c:auto val="1"/>
        <c:lblAlgn val="ctr"/>
        <c:lblOffset val="100"/>
        <c:noMultiLvlLbl val="0"/>
      </c:catAx>
      <c:valAx>
        <c:axId val="1454273776"/>
        <c:scaling>
          <c:orientation val="minMax"/>
        </c:scaling>
        <c:delete val="1"/>
        <c:axPos val="l"/>
        <c:numFmt formatCode="General" sourceLinked="1"/>
        <c:majorTickMark val="none"/>
        <c:minorTickMark val="none"/>
        <c:tickLblPos val="nextTo"/>
        <c:crossAx val="1454272816"/>
        <c:crosses val="autoZero"/>
        <c:crossBetween val="between"/>
      </c:valAx>
      <c:spPr>
        <a:noFill/>
        <a:ln>
          <a:noFill/>
        </a:ln>
        <a:effectLst/>
      </c:spPr>
    </c:plotArea>
    <c:legend>
      <c:legendPos val="b"/>
      <c:layout>
        <c:manualLayout>
          <c:xMode val="edge"/>
          <c:yMode val="edge"/>
          <c:x val="0.15357274265950402"/>
          <c:y val="0.87162285780453919"/>
          <c:w val="0.60790269930550089"/>
          <c:h val="0.102875473187605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Variance Analysis.xlsx]PIVOT TABLES!Variance Status</c:name>
    <c:fmtId val="17"/>
  </c:pivotSource>
  <c:chart>
    <c:title>
      <c:tx>
        <c:rich>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Agency FB" panose="020B0503020202020204" pitchFamily="34" charset="0"/>
                <a:ea typeface="+mn-ea"/>
                <a:cs typeface="+mn-cs"/>
              </a:defRPr>
            </a:pPr>
            <a:r>
              <a:rPr lang="en-US" b="1">
                <a:solidFill>
                  <a:schemeClr val="tx1">
                    <a:lumMod val="95000"/>
                    <a:lumOff val="5000"/>
                  </a:schemeClr>
                </a:solidFill>
                <a:latin typeface="+mn-lt"/>
              </a:rPr>
              <a:t>variance</a:t>
            </a:r>
            <a:r>
              <a:rPr lang="en-US" b="1" baseline="0">
                <a:solidFill>
                  <a:schemeClr val="tx1">
                    <a:lumMod val="95000"/>
                    <a:lumOff val="5000"/>
                  </a:schemeClr>
                </a:solidFill>
                <a:latin typeface="+mn-lt"/>
              </a:rPr>
              <a:t> Status</a:t>
            </a:r>
            <a:endParaRPr lang="en-US" b="1">
              <a:solidFill>
                <a:schemeClr val="tx1">
                  <a:lumMod val="95000"/>
                  <a:lumOff val="5000"/>
                </a:schemeClr>
              </a:solidFill>
              <a:latin typeface="+mn-lt"/>
            </a:endParaRPr>
          </a:p>
        </c:rich>
      </c:tx>
      <c:overlay val="1"/>
      <c:spPr>
        <a:noFill/>
        <a:ln>
          <a:solidFill>
            <a:schemeClr val="lt1">
              <a:shade val="50000"/>
              <a:alpha val="95000"/>
            </a:schemeClr>
          </a:solidFill>
        </a:ln>
        <a:effectLst/>
      </c:spPr>
      <c:txPr>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Agency FB" panose="020B0503020202020204" pitchFamily="34" charset="0"/>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2.474621441550575E-2"/>
          <c:y val="0.19117647058823528"/>
          <c:w val="0.46346918737847254"/>
          <c:h val="0.69690771190365908"/>
        </c:manualLayout>
      </c:layout>
      <c:pieChart>
        <c:varyColors val="1"/>
        <c:ser>
          <c:idx val="0"/>
          <c:order val="0"/>
          <c:tx>
            <c:strRef>
              <c:f>'PIVOT TABLES'!$B$49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5CB-417D-A8BB-60555A249C1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5CB-417D-A8BB-60555A249C1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5CB-417D-A8BB-60555A249C1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5CB-417D-A8BB-60555A249C1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TABLES'!$A$50:$A$56</c:f>
              <c:multiLvlStrCache>
                <c:ptCount val="4"/>
                <c:lvl>
                  <c:pt idx="0">
                    <c:v>Favourable</c:v>
                  </c:pt>
                  <c:pt idx="1">
                    <c:v>Unfavourable</c:v>
                  </c:pt>
                  <c:pt idx="2">
                    <c:v>Favourable</c:v>
                  </c:pt>
                  <c:pt idx="3">
                    <c:v>Unfavourable</c:v>
                  </c:pt>
                </c:lvl>
                <c:lvl>
                  <c:pt idx="0">
                    <c:v>Expenses</c:v>
                  </c:pt>
                  <c:pt idx="2">
                    <c:v>Revenue</c:v>
                  </c:pt>
                </c:lvl>
              </c:multiLvlStrCache>
            </c:multiLvlStrRef>
          </c:cat>
          <c:val>
            <c:numRef>
              <c:f>'PIVOT TABLES'!$B$50:$B$56</c:f>
              <c:numCache>
                <c:formatCode>_(* #,##0_);_(* \(#,##0\);_(* "-"??_);_(@_)</c:formatCode>
                <c:ptCount val="4"/>
                <c:pt idx="0">
                  <c:v>-172514</c:v>
                </c:pt>
                <c:pt idx="1">
                  <c:v>178066</c:v>
                </c:pt>
                <c:pt idx="2">
                  <c:v>431642</c:v>
                </c:pt>
                <c:pt idx="3">
                  <c:v>-115532</c:v>
                </c:pt>
              </c:numCache>
            </c:numRef>
          </c:val>
          <c:extLst>
            <c:ext xmlns:c16="http://schemas.microsoft.com/office/drawing/2014/chart" uri="{C3380CC4-5D6E-409C-BE32-E72D297353CC}">
              <c16:uniqueId val="{00000008-E5CB-417D-A8BB-60555A249C1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43436635805139739"/>
          <c:y val="0.29663327929597039"/>
          <c:w val="0.55827195194732693"/>
          <c:h val="0.40996873552570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Variance Analysis.xlsx]PIVOT TABLES!Line items</c:name>
    <c:fmtId val="22"/>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GB" b="1">
                <a:solidFill>
                  <a:schemeClr val="bg2">
                    <a:lumMod val="10000"/>
                  </a:schemeClr>
                </a:solidFill>
              </a:rPr>
              <a:t>Top 5 Variance By Line Items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74796023800193"/>
          <c:y val="0.17225054859945782"/>
          <c:w val="0.63358200070352022"/>
          <c:h val="0.56980743196574102"/>
        </c:manualLayout>
      </c:layout>
      <c:barChart>
        <c:barDir val="bar"/>
        <c:grouping val="stacked"/>
        <c:varyColors val="0"/>
        <c:ser>
          <c:idx val="0"/>
          <c:order val="0"/>
          <c:tx>
            <c:strRef>
              <c:f>'PIVOT TABLES'!$B$62:$B$63</c:f>
              <c:strCache>
                <c:ptCount val="1"/>
                <c:pt idx="0">
                  <c:v>Favourable</c:v>
                </c:pt>
              </c:strCache>
            </c:strRef>
          </c:tx>
          <c:spPr>
            <a:solidFill>
              <a:schemeClr val="accent1"/>
            </a:solidFill>
            <a:ln>
              <a:noFill/>
            </a:ln>
            <a:effectLst/>
          </c:spPr>
          <c:invertIfNegative val="0"/>
          <c:cat>
            <c:strRef>
              <c:f>'PIVOT TABLES'!$A$64:$A$69</c:f>
              <c:strCache>
                <c:ptCount val="5"/>
                <c:pt idx="0">
                  <c:v>Consulting Revenue</c:v>
                </c:pt>
                <c:pt idx="1">
                  <c:v>Licensing Revenue</c:v>
                </c:pt>
                <c:pt idx="2">
                  <c:v>Product Revenue</c:v>
                </c:pt>
                <c:pt idx="3">
                  <c:v>Service Revenue</c:v>
                </c:pt>
                <c:pt idx="4">
                  <c:v>Subscription Revenue</c:v>
                </c:pt>
              </c:strCache>
            </c:strRef>
          </c:cat>
          <c:val>
            <c:numRef>
              <c:f>'PIVOT TABLES'!$B$64:$B$69</c:f>
              <c:numCache>
                <c:formatCode>_(* #,##0_);_(* \(#,##0\);_(* "-"??_);_(@_)</c:formatCode>
                <c:ptCount val="5"/>
                <c:pt idx="0">
                  <c:v>44767</c:v>
                </c:pt>
                <c:pt idx="1">
                  <c:v>35481</c:v>
                </c:pt>
                <c:pt idx="2">
                  <c:v>172206</c:v>
                </c:pt>
                <c:pt idx="3">
                  <c:v>75496</c:v>
                </c:pt>
                <c:pt idx="4">
                  <c:v>94491</c:v>
                </c:pt>
              </c:numCache>
            </c:numRef>
          </c:val>
          <c:extLst>
            <c:ext xmlns:c16="http://schemas.microsoft.com/office/drawing/2014/chart" uri="{C3380CC4-5D6E-409C-BE32-E72D297353CC}">
              <c16:uniqueId val="{00000000-39DB-4674-B46C-3C085E153665}"/>
            </c:ext>
          </c:extLst>
        </c:ser>
        <c:ser>
          <c:idx val="1"/>
          <c:order val="1"/>
          <c:tx>
            <c:strRef>
              <c:f>'PIVOT TABLES'!$C$62:$C$63</c:f>
              <c:strCache>
                <c:ptCount val="1"/>
                <c:pt idx="0">
                  <c:v>Unfavourable</c:v>
                </c:pt>
              </c:strCache>
            </c:strRef>
          </c:tx>
          <c:spPr>
            <a:solidFill>
              <a:schemeClr val="accent2"/>
            </a:solidFill>
            <a:ln>
              <a:noFill/>
            </a:ln>
            <a:effectLst/>
          </c:spPr>
          <c:invertIfNegative val="0"/>
          <c:cat>
            <c:strRef>
              <c:f>'PIVOT TABLES'!$A$64:$A$69</c:f>
              <c:strCache>
                <c:ptCount val="5"/>
                <c:pt idx="0">
                  <c:v>Consulting Revenue</c:v>
                </c:pt>
                <c:pt idx="1">
                  <c:v>Licensing Revenue</c:v>
                </c:pt>
                <c:pt idx="2">
                  <c:v>Product Revenue</c:v>
                </c:pt>
                <c:pt idx="3">
                  <c:v>Service Revenue</c:v>
                </c:pt>
                <c:pt idx="4">
                  <c:v>Subscription Revenue</c:v>
                </c:pt>
              </c:strCache>
            </c:strRef>
          </c:cat>
          <c:val>
            <c:numRef>
              <c:f>'PIVOT TABLES'!$C$64:$C$69</c:f>
              <c:numCache>
                <c:formatCode>_(* #,##0_);_(* \(#,##0\);_(* "-"??_);_(@_)</c:formatCode>
                <c:ptCount val="5"/>
                <c:pt idx="0">
                  <c:v>-5639</c:v>
                </c:pt>
                <c:pt idx="1">
                  <c:v>-5260</c:v>
                </c:pt>
                <c:pt idx="2">
                  <c:v>-25667</c:v>
                </c:pt>
                <c:pt idx="3">
                  <c:v>-19939</c:v>
                </c:pt>
                <c:pt idx="4">
                  <c:v>-57297</c:v>
                </c:pt>
              </c:numCache>
            </c:numRef>
          </c:val>
          <c:extLst>
            <c:ext xmlns:c16="http://schemas.microsoft.com/office/drawing/2014/chart" uri="{C3380CC4-5D6E-409C-BE32-E72D297353CC}">
              <c16:uniqueId val="{00000001-BB7B-4352-8F75-68CEC43E2E23}"/>
            </c:ext>
          </c:extLst>
        </c:ser>
        <c:dLbls>
          <c:showLegendKey val="0"/>
          <c:showVal val="0"/>
          <c:showCatName val="0"/>
          <c:showSerName val="0"/>
          <c:showPercent val="0"/>
          <c:showBubbleSize val="0"/>
        </c:dLbls>
        <c:gapWidth val="182"/>
        <c:overlap val="100"/>
        <c:axId val="1467416192"/>
        <c:axId val="1467421952"/>
      </c:barChart>
      <c:catAx>
        <c:axId val="1467416192"/>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67421952"/>
        <c:crosses val="autoZero"/>
        <c:auto val="1"/>
        <c:lblAlgn val="ctr"/>
        <c:lblOffset val="100"/>
        <c:noMultiLvlLbl val="0"/>
      </c:catAx>
      <c:valAx>
        <c:axId val="1467421952"/>
        <c:scaling>
          <c:orientation val="minMax"/>
        </c:scaling>
        <c:delete val="0"/>
        <c:axPos val="b"/>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467416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Variance Analysis.xlsx]PIVOT TABLES!Var by Dept</c:name>
    <c:fmtId val="16"/>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GB" b="1">
                <a:solidFill>
                  <a:schemeClr val="bg2">
                    <a:lumMod val="10000"/>
                  </a:schemeClr>
                </a:solidFill>
              </a:rPr>
              <a:t>Top 5 Variance By Department</a:t>
            </a:r>
          </a:p>
        </c:rich>
      </c:tx>
      <c:layout>
        <c:manualLayout>
          <c:xMode val="edge"/>
          <c:yMode val="edge"/>
          <c:x val="0.33829808956214347"/>
          <c:y val="3.01547480066568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605318366346076"/>
          <c:y val="0.15617178767480563"/>
          <c:w val="0.54276162711494969"/>
          <c:h val="0.60179772049041813"/>
        </c:manualLayout>
      </c:layout>
      <c:barChart>
        <c:barDir val="bar"/>
        <c:grouping val="stacked"/>
        <c:varyColors val="0"/>
        <c:ser>
          <c:idx val="0"/>
          <c:order val="0"/>
          <c:tx>
            <c:strRef>
              <c:f>'PIVOT TABLES'!$B$83:$B$84</c:f>
              <c:strCache>
                <c:ptCount val="1"/>
                <c:pt idx="0">
                  <c:v>Favourable</c:v>
                </c:pt>
              </c:strCache>
            </c:strRef>
          </c:tx>
          <c:spPr>
            <a:solidFill>
              <a:schemeClr val="accent1"/>
            </a:solidFill>
            <a:ln>
              <a:noFill/>
            </a:ln>
            <a:effectLst/>
          </c:spPr>
          <c:invertIfNegative val="0"/>
          <c:cat>
            <c:strRef>
              <c:f>'PIVOT TABLES'!$A$85:$A$90</c:f>
              <c:strCache>
                <c:ptCount val="5"/>
                <c:pt idx="0">
                  <c:v>Corporate</c:v>
                </c:pt>
                <c:pt idx="1">
                  <c:v>Executive Office</c:v>
                </c:pt>
                <c:pt idx="2">
                  <c:v>Operations</c:v>
                </c:pt>
                <c:pt idx="3">
                  <c:v>Research &amp; Development</c:v>
                </c:pt>
                <c:pt idx="4">
                  <c:v>Sales &amp; Marketing</c:v>
                </c:pt>
              </c:strCache>
            </c:strRef>
          </c:cat>
          <c:val>
            <c:numRef>
              <c:f>'PIVOT TABLES'!$B$85:$B$90</c:f>
              <c:numCache>
                <c:formatCode>_(* #,##0_);_(* \(#,##0\);_(* "-"??_);_(@_)</c:formatCode>
                <c:ptCount val="5"/>
                <c:pt idx="0">
                  <c:v>431642</c:v>
                </c:pt>
                <c:pt idx="1">
                  <c:v>-8363</c:v>
                </c:pt>
                <c:pt idx="2">
                  <c:v>-37172</c:v>
                </c:pt>
                <c:pt idx="3">
                  <c:v>-14620</c:v>
                </c:pt>
                <c:pt idx="4">
                  <c:v>-15482</c:v>
                </c:pt>
              </c:numCache>
            </c:numRef>
          </c:val>
          <c:extLst>
            <c:ext xmlns:c16="http://schemas.microsoft.com/office/drawing/2014/chart" uri="{C3380CC4-5D6E-409C-BE32-E72D297353CC}">
              <c16:uniqueId val="{00000000-752D-412A-B588-97FAC083BEA1}"/>
            </c:ext>
          </c:extLst>
        </c:ser>
        <c:ser>
          <c:idx val="1"/>
          <c:order val="1"/>
          <c:tx>
            <c:strRef>
              <c:f>'PIVOT TABLES'!$C$83:$C$84</c:f>
              <c:strCache>
                <c:ptCount val="1"/>
                <c:pt idx="0">
                  <c:v>Unfavourable</c:v>
                </c:pt>
              </c:strCache>
            </c:strRef>
          </c:tx>
          <c:spPr>
            <a:solidFill>
              <a:schemeClr val="accent2"/>
            </a:solidFill>
            <a:ln>
              <a:noFill/>
            </a:ln>
            <a:effectLst/>
          </c:spPr>
          <c:invertIfNegative val="0"/>
          <c:cat>
            <c:strRef>
              <c:f>'PIVOT TABLES'!$A$85:$A$90</c:f>
              <c:strCache>
                <c:ptCount val="5"/>
                <c:pt idx="0">
                  <c:v>Corporate</c:v>
                </c:pt>
                <c:pt idx="1">
                  <c:v>Executive Office</c:v>
                </c:pt>
                <c:pt idx="2">
                  <c:v>Operations</c:v>
                </c:pt>
                <c:pt idx="3">
                  <c:v>Research &amp; Development</c:v>
                </c:pt>
                <c:pt idx="4">
                  <c:v>Sales &amp; Marketing</c:v>
                </c:pt>
              </c:strCache>
            </c:strRef>
          </c:cat>
          <c:val>
            <c:numRef>
              <c:f>'PIVOT TABLES'!$C$85:$C$90</c:f>
              <c:numCache>
                <c:formatCode>_(* #,##0_);_(* \(#,##0\);_(* "-"??_);_(@_)</c:formatCode>
                <c:ptCount val="5"/>
                <c:pt idx="0">
                  <c:v>-115532</c:v>
                </c:pt>
                <c:pt idx="1">
                  <c:v>12561</c:v>
                </c:pt>
                <c:pt idx="2">
                  <c:v>35231</c:v>
                </c:pt>
                <c:pt idx="3">
                  <c:v>23328</c:v>
                </c:pt>
                <c:pt idx="4">
                  <c:v>45895</c:v>
                </c:pt>
              </c:numCache>
            </c:numRef>
          </c:val>
          <c:extLst>
            <c:ext xmlns:c16="http://schemas.microsoft.com/office/drawing/2014/chart" uri="{C3380CC4-5D6E-409C-BE32-E72D297353CC}">
              <c16:uniqueId val="{00000001-8FE3-414F-8C13-576EB7A0BADA}"/>
            </c:ext>
          </c:extLst>
        </c:ser>
        <c:dLbls>
          <c:showLegendKey val="0"/>
          <c:showVal val="0"/>
          <c:showCatName val="0"/>
          <c:showSerName val="0"/>
          <c:showPercent val="0"/>
          <c:showBubbleSize val="0"/>
        </c:dLbls>
        <c:gapWidth val="150"/>
        <c:overlap val="100"/>
        <c:axId val="1580055008"/>
        <c:axId val="1580071808"/>
      </c:barChart>
      <c:valAx>
        <c:axId val="1580071808"/>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80055008"/>
        <c:crosses val="autoZero"/>
        <c:crossBetween val="between"/>
      </c:valAx>
      <c:catAx>
        <c:axId val="1580055008"/>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5800718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347738</xdr:colOff>
      <xdr:row>1</xdr:row>
      <xdr:rowOff>0</xdr:rowOff>
    </xdr:from>
    <xdr:to>
      <xdr:col>13</xdr:col>
      <xdr:colOff>7559</xdr:colOff>
      <xdr:row>8</xdr:row>
      <xdr:rowOff>188987</xdr:rowOff>
    </xdr:to>
    <xdr:graphicFrame macro="">
      <xdr:nvGraphicFramePr>
        <xdr:cNvPr id="5" name="Chart 4">
          <a:extLst>
            <a:ext uri="{FF2B5EF4-FFF2-40B4-BE49-F238E27FC236}">
              <a16:creationId xmlns:a16="http://schemas.microsoft.com/office/drawing/2014/main" id="{B2ABB708-CAC9-441B-92C1-C2C1A14F3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215900</xdr:colOff>
      <xdr:row>1</xdr:row>
      <xdr:rowOff>177800</xdr:rowOff>
    </xdr:from>
    <xdr:to>
      <xdr:col>8</xdr:col>
      <xdr:colOff>342900</xdr:colOff>
      <xdr:row>13</xdr:row>
      <xdr:rowOff>114300</xdr:rowOff>
    </xdr:to>
    <xdr:graphicFrame macro="">
      <xdr:nvGraphicFramePr>
        <xdr:cNvPr id="2" name="Chart 1">
          <a:extLst>
            <a:ext uri="{FF2B5EF4-FFF2-40B4-BE49-F238E27FC236}">
              <a16:creationId xmlns:a16="http://schemas.microsoft.com/office/drawing/2014/main" id="{CC42FA56-F7B4-3488-7B71-7A5A52988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603250</xdr:colOff>
      <xdr:row>19</xdr:row>
      <xdr:rowOff>57149</xdr:rowOff>
    </xdr:from>
    <xdr:to>
      <xdr:col>8</xdr:col>
      <xdr:colOff>82550</xdr:colOff>
      <xdr:row>30</xdr:row>
      <xdr:rowOff>184150</xdr:rowOff>
    </xdr:to>
    <xdr:graphicFrame macro="">
      <xdr:nvGraphicFramePr>
        <xdr:cNvPr id="3" name="Chart 2">
          <a:extLst>
            <a:ext uri="{FF2B5EF4-FFF2-40B4-BE49-F238E27FC236}">
              <a16:creationId xmlns:a16="http://schemas.microsoft.com/office/drawing/2014/main" id="{6D15F8C4-EF0A-60FA-D631-FFF438070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381000</xdr:colOff>
      <xdr:row>33</xdr:row>
      <xdr:rowOff>168275</xdr:rowOff>
    </xdr:from>
    <xdr:to>
      <xdr:col>9</xdr:col>
      <xdr:colOff>768350</xdr:colOff>
      <xdr:row>44</xdr:row>
      <xdr:rowOff>69850</xdr:rowOff>
    </xdr:to>
    <xdr:graphicFrame macro="">
      <xdr:nvGraphicFramePr>
        <xdr:cNvPr id="4" name="Chart 3">
          <a:extLst>
            <a:ext uri="{FF2B5EF4-FFF2-40B4-BE49-F238E27FC236}">
              <a16:creationId xmlns:a16="http://schemas.microsoft.com/office/drawing/2014/main" id="{1D7FC783-564F-8E61-67CF-69A5394FAE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501650</xdr:colOff>
      <xdr:row>1</xdr:row>
      <xdr:rowOff>146050</xdr:rowOff>
    </xdr:from>
    <xdr:to>
      <xdr:col>10</xdr:col>
      <xdr:colOff>679450</xdr:colOff>
      <xdr:row>13</xdr:row>
      <xdr:rowOff>174622</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BA29B425-417F-C3D4-158F-6E07C1EC33E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981950" y="3619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196850</xdr:colOff>
      <xdr:row>13</xdr:row>
      <xdr:rowOff>184150</xdr:rowOff>
    </xdr:from>
    <xdr:to>
      <xdr:col>5</xdr:col>
      <xdr:colOff>330200</xdr:colOff>
      <xdr:row>18</xdr:row>
      <xdr:rowOff>127000</xdr:rowOff>
    </xdr:to>
    <mc:AlternateContent xmlns:mc="http://schemas.openxmlformats.org/markup-compatibility/2006" xmlns:a14="http://schemas.microsoft.com/office/drawing/2010/main">
      <mc:Choice Requires="a14">
        <xdr:graphicFrame macro="">
          <xdr:nvGraphicFramePr>
            <xdr:cNvPr id="7" name="Account Type">
              <a:extLst>
                <a:ext uri="{FF2B5EF4-FFF2-40B4-BE49-F238E27FC236}">
                  <a16:creationId xmlns:a16="http://schemas.microsoft.com/office/drawing/2014/main" id="{1BB191E9-2DB1-F3D9-5FB1-B8A67ECB4F59}"/>
                </a:ext>
              </a:extLst>
            </xdr:cNvPr>
            <xdr:cNvGraphicFramePr/>
          </xdr:nvGraphicFramePr>
          <xdr:xfrm>
            <a:off x="0" y="0"/>
            <a:ext cx="0" cy="0"/>
          </xdr:xfrm>
          <a:graphic>
            <a:graphicData uri="http://schemas.microsoft.com/office/drawing/2010/slicer">
              <sle:slicer xmlns:sle="http://schemas.microsoft.com/office/drawing/2010/slicer" name="Account Type"/>
            </a:graphicData>
          </a:graphic>
        </xdr:graphicFrame>
      </mc:Choice>
      <mc:Fallback xmlns="">
        <xdr:sp macro="" textlink="">
          <xdr:nvSpPr>
            <xdr:cNvPr id="0" name=""/>
            <xdr:cNvSpPr>
              <a:spLocks noTextEdit="1"/>
            </xdr:cNvSpPr>
          </xdr:nvSpPr>
          <xdr:spPr>
            <a:xfrm>
              <a:off x="3505200" y="2990850"/>
              <a:ext cx="1828800" cy="1022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520700</xdr:colOff>
      <xdr:row>13</xdr:row>
      <xdr:rowOff>171450</xdr:rowOff>
    </xdr:from>
    <xdr:to>
      <xdr:col>7</xdr:col>
      <xdr:colOff>812800</xdr:colOff>
      <xdr:row>18</xdr:row>
      <xdr:rowOff>139700</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D418F5D6-F91C-CE1A-E733-1DEB22A95B2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524500" y="2978150"/>
              <a:ext cx="1943100" cy="1047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311150</xdr:colOff>
      <xdr:row>14</xdr:row>
      <xdr:rowOff>76200</xdr:rowOff>
    </xdr:from>
    <xdr:to>
      <xdr:col>10</xdr:col>
      <xdr:colOff>488950</xdr:colOff>
      <xdr:row>18</xdr:row>
      <xdr:rowOff>82550</xdr:rowOff>
    </xdr:to>
    <mc:AlternateContent xmlns:mc="http://schemas.openxmlformats.org/markup-compatibility/2006" xmlns:a14="http://schemas.microsoft.com/office/drawing/2010/main">
      <mc:Choice Requires="a14">
        <xdr:graphicFrame macro="">
          <xdr:nvGraphicFramePr>
            <xdr:cNvPr id="9" name="Budget Status">
              <a:extLst>
                <a:ext uri="{FF2B5EF4-FFF2-40B4-BE49-F238E27FC236}">
                  <a16:creationId xmlns:a16="http://schemas.microsoft.com/office/drawing/2014/main" id="{90F58BF2-9FCD-0701-C78E-8659845930A3}"/>
                </a:ext>
              </a:extLst>
            </xdr:cNvPr>
            <xdr:cNvGraphicFramePr/>
          </xdr:nvGraphicFramePr>
          <xdr:xfrm>
            <a:off x="0" y="0"/>
            <a:ext cx="0" cy="0"/>
          </xdr:xfrm>
          <a:graphic>
            <a:graphicData uri="http://schemas.microsoft.com/office/drawing/2010/slicer">
              <sle:slicer xmlns:sle="http://schemas.microsoft.com/office/drawing/2010/slicer" name="Budget Status"/>
            </a:graphicData>
          </a:graphic>
        </xdr:graphicFrame>
      </mc:Choice>
      <mc:Fallback xmlns="">
        <xdr:sp macro="" textlink="">
          <xdr:nvSpPr>
            <xdr:cNvPr id="0" name=""/>
            <xdr:cNvSpPr>
              <a:spLocks noTextEdit="1"/>
            </xdr:cNvSpPr>
          </xdr:nvSpPr>
          <xdr:spPr>
            <a:xfrm>
              <a:off x="7791450" y="3098800"/>
              <a:ext cx="1828800" cy="869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663575</xdr:colOff>
      <xdr:row>46</xdr:row>
      <xdr:rowOff>133349</xdr:rowOff>
    </xdr:from>
    <xdr:to>
      <xdr:col>6</xdr:col>
      <xdr:colOff>463550</xdr:colOff>
      <xdr:row>58</xdr:row>
      <xdr:rowOff>206374</xdr:rowOff>
    </xdr:to>
    <xdr:graphicFrame macro="">
      <xdr:nvGraphicFramePr>
        <xdr:cNvPr id="11" name="Chart 10">
          <a:extLst>
            <a:ext uri="{FF2B5EF4-FFF2-40B4-BE49-F238E27FC236}">
              <a16:creationId xmlns:a16="http://schemas.microsoft.com/office/drawing/2014/main" id="{273D5E41-EA17-0848-0124-7DD9EAFA7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323850</xdr:colOff>
      <xdr:row>61</xdr:row>
      <xdr:rowOff>31750</xdr:rowOff>
    </xdr:from>
    <xdr:to>
      <xdr:col>8</xdr:col>
      <xdr:colOff>622300</xdr:colOff>
      <xdr:row>67</xdr:row>
      <xdr:rowOff>158750</xdr:rowOff>
    </xdr:to>
    <xdr:graphicFrame macro="">
      <xdr:nvGraphicFramePr>
        <xdr:cNvPr id="12" name="Chart 11">
          <a:extLst>
            <a:ext uri="{FF2B5EF4-FFF2-40B4-BE49-F238E27FC236}">
              <a16:creationId xmlns:a16="http://schemas.microsoft.com/office/drawing/2014/main" id="{CB7006AF-A14E-3DE5-E89E-42A71DC96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82550</xdr:colOff>
      <xdr:row>71</xdr:row>
      <xdr:rowOff>22225</xdr:rowOff>
    </xdr:from>
    <xdr:to>
      <xdr:col>6</xdr:col>
      <xdr:colOff>762000</xdr:colOff>
      <xdr:row>78</xdr:row>
      <xdr:rowOff>139700</xdr:rowOff>
    </xdr:to>
    <xdr:graphicFrame macro="">
      <xdr:nvGraphicFramePr>
        <xdr:cNvPr id="13" name="Chart 12">
          <a:extLst>
            <a:ext uri="{FF2B5EF4-FFF2-40B4-BE49-F238E27FC236}">
              <a16:creationId xmlns:a16="http://schemas.microsoft.com/office/drawing/2014/main" id="{5C6AB412-999F-5133-C826-D4CA54C1B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387351</xdr:colOff>
      <xdr:row>83</xdr:row>
      <xdr:rowOff>38100</xdr:rowOff>
    </xdr:from>
    <xdr:to>
      <xdr:col>9</xdr:col>
      <xdr:colOff>317501</xdr:colOff>
      <xdr:row>92</xdr:row>
      <xdr:rowOff>184150</xdr:rowOff>
    </xdr:to>
    <xdr:graphicFrame macro="">
      <xdr:nvGraphicFramePr>
        <xdr:cNvPr id="14" name="Chart 13">
          <a:extLst>
            <a:ext uri="{FF2B5EF4-FFF2-40B4-BE49-F238E27FC236}">
              <a16:creationId xmlns:a16="http://schemas.microsoft.com/office/drawing/2014/main" id="{C6DAE007-2548-336B-1C69-67E0A5FA2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2362</xdr:colOff>
      <xdr:row>0</xdr:row>
      <xdr:rowOff>147676</xdr:rowOff>
    </xdr:from>
    <xdr:to>
      <xdr:col>17</xdr:col>
      <xdr:colOff>29534</xdr:colOff>
      <xdr:row>29</xdr:row>
      <xdr:rowOff>184595</xdr:rowOff>
    </xdr:to>
    <xdr:sp macro="" textlink="">
      <xdr:nvSpPr>
        <xdr:cNvPr id="14" name="Rectangle: Rounded Corners 13">
          <a:extLst>
            <a:ext uri="{FF2B5EF4-FFF2-40B4-BE49-F238E27FC236}">
              <a16:creationId xmlns:a16="http://schemas.microsoft.com/office/drawing/2014/main" id="{3BCFEC00-76ED-A1E0-4712-B31CC92F6D5D}"/>
            </a:ext>
          </a:extLst>
        </xdr:cNvPr>
        <xdr:cNvSpPr/>
      </xdr:nvSpPr>
      <xdr:spPr>
        <a:xfrm>
          <a:off x="615211" y="147676"/>
          <a:ext cx="10644963" cy="6032500"/>
        </a:xfrm>
        <a:prstGeom prst="roundRect">
          <a:avLst>
            <a:gd name="adj" fmla="val 6300"/>
          </a:avLst>
        </a:prstGeom>
        <a:solidFill>
          <a:schemeClr val="accent1">
            <a:lumMod val="40000"/>
            <a:lumOff val="60000"/>
          </a:schemeClr>
        </a:solidFill>
        <a:ln>
          <a:noFill/>
        </a:ln>
        <a:effectLst>
          <a:glow rad="101600">
            <a:schemeClr val="accent2">
              <a:satMod val="175000"/>
              <a:alpha val="1000"/>
            </a:schemeClr>
          </a:glow>
          <a:outerShdw blurRad="63500" sx="102000" sy="102000" algn="ctr" rotWithShape="0">
            <a:schemeClr val="accent2">
              <a:lumMod val="40000"/>
              <a:lumOff val="60000"/>
            </a:scheme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127000</xdr:colOff>
      <xdr:row>21</xdr:row>
      <xdr:rowOff>1403</xdr:rowOff>
    </xdr:from>
    <xdr:to>
      <xdr:col>16</xdr:col>
      <xdr:colOff>476250</xdr:colOff>
      <xdr:row>29</xdr:row>
      <xdr:rowOff>33153</xdr:rowOff>
    </xdr:to>
    <xdr:sp macro="" textlink="">
      <xdr:nvSpPr>
        <xdr:cNvPr id="12" name="Rectangle: Rounded Corners 11">
          <a:extLst>
            <a:ext uri="{FF2B5EF4-FFF2-40B4-BE49-F238E27FC236}">
              <a16:creationId xmlns:a16="http://schemas.microsoft.com/office/drawing/2014/main" id="{1FD092A8-ED72-3121-2B7E-3D0E0624AAC2}"/>
            </a:ext>
          </a:extLst>
        </xdr:cNvPr>
        <xdr:cNvSpPr/>
      </xdr:nvSpPr>
      <xdr:spPr>
        <a:xfrm>
          <a:off x="6868337" y="4343031"/>
          <a:ext cx="4225704" cy="1685703"/>
        </a:xfrm>
        <a:prstGeom prst="roundRect">
          <a:avLst/>
        </a:prstGeom>
        <a:solidFill>
          <a:schemeClr val="accent1">
            <a:lumMod val="20000"/>
            <a:lumOff val="80000"/>
          </a:schemeClr>
        </a:solidFill>
        <a:ln>
          <a:noFill/>
        </a:ln>
        <a:effectLst>
          <a:outerShdw blurRad="63500" sx="102000" sy="102000" algn="ctr" rotWithShape="0">
            <a:schemeClr val="accent2">
              <a:lumMod val="40000"/>
              <a:lumOff val="60000"/>
              <a:alpha val="8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228600</xdr:colOff>
      <xdr:row>20</xdr:row>
      <xdr:rowOff>165100</xdr:rowOff>
    </xdr:from>
    <xdr:to>
      <xdr:col>10</xdr:col>
      <xdr:colOff>476250</xdr:colOff>
      <xdr:row>29</xdr:row>
      <xdr:rowOff>76200</xdr:rowOff>
    </xdr:to>
    <xdr:sp macro="" textlink="">
      <xdr:nvSpPr>
        <xdr:cNvPr id="16" name="Rectangle: Rounded Corners 15">
          <a:extLst>
            <a:ext uri="{FF2B5EF4-FFF2-40B4-BE49-F238E27FC236}">
              <a16:creationId xmlns:a16="http://schemas.microsoft.com/office/drawing/2014/main" id="{9969285C-AF0A-DB8A-AC42-B20C48897B65}"/>
            </a:ext>
          </a:extLst>
        </xdr:cNvPr>
        <xdr:cNvSpPr/>
      </xdr:nvSpPr>
      <xdr:spPr>
        <a:xfrm>
          <a:off x="2679995" y="4299984"/>
          <a:ext cx="3924743" cy="1771797"/>
        </a:xfrm>
        <a:prstGeom prst="roundRect">
          <a:avLst/>
        </a:prstGeom>
        <a:solidFill>
          <a:schemeClr val="accent1">
            <a:lumMod val="20000"/>
            <a:lumOff val="80000"/>
          </a:schemeClr>
        </a:solidFill>
        <a:ln>
          <a:noFill/>
        </a:ln>
        <a:effectLst>
          <a:outerShdw blurRad="63500" sx="102000" sy="102000" algn="ctr" rotWithShape="0">
            <a:schemeClr val="accent2">
              <a:lumMod val="40000"/>
              <a:lumOff val="60000"/>
              <a:alpha val="8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241300</xdr:colOff>
      <xdr:row>10</xdr:row>
      <xdr:rowOff>76200</xdr:rowOff>
    </xdr:from>
    <xdr:to>
      <xdr:col>16</xdr:col>
      <xdr:colOff>438150</xdr:colOff>
      <xdr:row>20</xdr:row>
      <xdr:rowOff>76200</xdr:rowOff>
    </xdr:to>
    <xdr:sp macro="" textlink="">
      <xdr:nvSpPr>
        <xdr:cNvPr id="11" name="Rectangle: Rounded Corners 10">
          <a:extLst>
            <a:ext uri="{FF2B5EF4-FFF2-40B4-BE49-F238E27FC236}">
              <a16:creationId xmlns:a16="http://schemas.microsoft.com/office/drawing/2014/main" id="{D40650ED-2393-8DB6-39BA-0B1575E82FF7}"/>
            </a:ext>
          </a:extLst>
        </xdr:cNvPr>
        <xdr:cNvSpPr/>
      </xdr:nvSpPr>
      <xdr:spPr>
        <a:xfrm>
          <a:off x="8208335" y="2143642"/>
          <a:ext cx="2847606" cy="2067442"/>
        </a:xfrm>
        <a:prstGeom prst="roundRect">
          <a:avLst/>
        </a:prstGeom>
        <a:solidFill>
          <a:schemeClr val="accent1">
            <a:lumMod val="20000"/>
            <a:lumOff val="80000"/>
          </a:schemeClr>
        </a:solidFill>
        <a:ln>
          <a:noFill/>
        </a:ln>
        <a:effectLst>
          <a:outerShdw blurRad="63500" sx="102000" sy="102000" algn="ctr" rotWithShape="0">
            <a:schemeClr val="accent2">
              <a:lumMod val="40000"/>
              <a:lumOff val="60000"/>
              <a:alpha val="8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460375</xdr:colOff>
      <xdr:row>10</xdr:row>
      <xdr:rowOff>76200</xdr:rowOff>
    </xdr:from>
    <xdr:to>
      <xdr:col>13</xdr:col>
      <xdr:colOff>225425</xdr:colOff>
      <xdr:row>20</xdr:row>
      <xdr:rowOff>76200</xdr:rowOff>
    </xdr:to>
    <xdr:sp macro="" textlink="">
      <xdr:nvSpPr>
        <xdr:cNvPr id="8" name="Rectangle: Rounded Corners 7">
          <a:extLst>
            <a:ext uri="{FF2B5EF4-FFF2-40B4-BE49-F238E27FC236}">
              <a16:creationId xmlns:a16="http://schemas.microsoft.com/office/drawing/2014/main" id="{3A6204AF-C0CB-85F0-CC45-4D06561DA0E5}"/>
            </a:ext>
          </a:extLst>
        </xdr:cNvPr>
        <xdr:cNvSpPr/>
      </xdr:nvSpPr>
      <xdr:spPr>
        <a:xfrm>
          <a:off x="5363166" y="2143642"/>
          <a:ext cx="2829294" cy="2067442"/>
        </a:xfrm>
        <a:prstGeom prst="roundRect">
          <a:avLst/>
        </a:prstGeom>
        <a:solidFill>
          <a:schemeClr val="accent1">
            <a:lumMod val="20000"/>
            <a:lumOff val="80000"/>
          </a:schemeClr>
        </a:solidFill>
        <a:ln>
          <a:noFill/>
        </a:ln>
        <a:effectLst>
          <a:outerShdw blurRad="63500" sx="102000" sy="102000" algn="ctr" rotWithShape="0">
            <a:schemeClr val="accent2">
              <a:lumMod val="40000"/>
              <a:lumOff val="60000"/>
              <a:alpha val="8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19050</xdr:colOff>
      <xdr:row>10</xdr:row>
      <xdr:rowOff>76200</xdr:rowOff>
    </xdr:from>
    <xdr:to>
      <xdr:col>8</xdr:col>
      <xdr:colOff>444500</xdr:colOff>
      <xdr:row>20</xdr:row>
      <xdr:rowOff>76200</xdr:rowOff>
    </xdr:to>
    <xdr:sp macro="" textlink="">
      <xdr:nvSpPr>
        <xdr:cNvPr id="13" name="Rectangle: Rounded Corners 12">
          <a:extLst>
            <a:ext uri="{FF2B5EF4-FFF2-40B4-BE49-F238E27FC236}">
              <a16:creationId xmlns:a16="http://schemas.microsoft.com/office/drawing/2014/main" id="{F1288424-4F98-631B-BF1B-884847F1CF74}"/>
            </a:ext>
          </a:extLst>
        </xdr:cNvPr>
        <xdr:cNvSpPr/>
      </xdr:nvSpPr>
      <xdr:spPr>
        <a:xfrm>
          <a:off x="2470445" y="2143642"/>
          <a:ext cx="2876846" cy="2067442"/>
        </a:xfrm>
        <a:prstGeom prst="roundRect">
          <a:avLst/>
        </a:prstGeom>
        <a:solidFill>
          <a:schemeClr val="accent1">
            <a:lumMod val="20000"/>
            <a:lumOff val="80000"/>
          </a:schemeClr>
        </a:solidFill>
        <a:ln>
          <a:noFill/>
        </a:ln>
        <a:effectLst>
          <a:outerShdw blurRad="63500" sx="102000" sy="102000" algn="ctr" rotWithShape="0">
            <a:schemeClr val="accent2">
              <a:lumMod val="40000"/>
              <a:lumOff val="60000"/>
              <a:alpha val="8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260350</xdr:colOff>
      <xdr:row>7</xdr:row>
      <xdr:rowOff>29535</xdr:rowOff>
    </xdr:from>
    <xdr:to>
      <xdr:col>4</xdr:col>
      <xdr:colOff>19050</xdr:colOff>
      <xdr:row>15</xdr:row>
      <xdr:rowOff>41644</xdr:rowOff>
    </xdr:to>
    <mc:AlternateContent xmlns:mc="http://schemas.openxmlformats.org/markup-compatibility/2006">
      <mc:Choice xmlns:a14="http://schemas.microsoft.com/office/drawing/2010/main" Requires="a14">
        <xdr:graphicFrame macro="">
          <xdr:nvGraphicFramePr>
            <xdr:cNvPr id="2" name="Month 1">
              <a:extLst>
                <a:ext uri="{FF2B5EF4-FFF2-40B4-BE49-F238E27FC236}">
                  <a16:creationId xmlns:a16="http://schemas.microsoft.com/office/drawing/2014/main" id="{78860ADD-FAF8-406C-8853-E61D5EBB40E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873199" y="1476744"/>
              <a:ext cx="1597246" cy="16660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4</xdr:col>
      <xdr:colOff>238938</xdr:colOff>
      <xdr:row>6</xdr:row>
      <xdr:rowOff>205267</xdr:rowOff>
    </xdr:from>
    <xdr:to>
      <xdr:col>10</xdr:col>
      <xdr:colOff>487327</xdr:colOff>
      <xdr:row>10</xdr:row>
      <xdr:rowOff>18370</xdr:rowOff>
    </xdr:to>
    <mc:AlternateContent xmlns:mc="http://schemas.openxmlformats.org/markup-compatibility/2006">
      <mc:Choice xmlns:a14="http://schemas.microsoft.com/office/drawing/2010/main" Requires="a14">
        <xdr:graphicFrame macro="">
          <xdr:nvGraphicFramePr>
            <xdr:cNvPr id="3" name="Account Type 1">
              <a:extLst>
                <a:ext uri="{FF2B5EF4-FFF2-40B4-BE49-F238E27FC236}">
                  <a16:creationId xmlns:a16="http://schemas.microsoft.com/office/drawing/2014/main" id="{623D615B-591A-41D7-B041-6CAB57601B93}"/>
                </a:ext>
              </a:extLst>
            </xdr:cNvPr>
            <xdr:cNvGraphicFramePr/>
          </xdr:nvGraphicFramePr>
          <xdr:xfrm>
            <a:off x="0" y="0"/>
            <a:ext cx="0" cy="0"/>
          </xdr:xfrm>
          <a:graphic>
            <a:graphicData uri="http://schemas.microsoft.com/office/drawing/2010/slicer">
              <sle:slicer xmlns:sle="http://schemas.microsoft.com/office/drawing/2010/slicer" name="Account Type 1"/>
            </a:graphicData>
          </a:graphic>
        </xdr:graphicFrame>
      </mc:Choice>
      <mc:Fallback>
        <xdr:sp macro="" textlink="">
          <xdr:nvSpPr>
            <xdr:cNvPr id="0" name=""/>
            <xdr:cNvSpPr>
              <a:spLocks noTextEdit="1"/>
            </xdr:cNvSpPr>
          </xdr:nvSpPr>
          <xdr:spPr>
            <a:xfrm>
              <a:off x="2690333" y="1445732"/>
              <a:ext cx="3925482" cy="6400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273049</xdr:colOff>
      <xdr:row>15</xdr:row>
      <xdr:rowOff>103372</xdr:rowOff>
    </xdr:from>
    <xdr:to>
      <xdr:col>3</xdr:col>
      <xdr:colOff>590696</xdr:colOff>
      <xdr:row>28</xdr:row>
      <xdr:rowOff>199361</xdr:rowOff>
    </xdr:to>
    <mc:AlternateContent xmlns:mc="http://schemas.openxmlformats.org/markup-compatibility/2006">
      <mc:Choice xmlns:a14="http://schemas.microsoft.com/office/drawing/2010/main" Requires="a14">
        <xdr:graphicFrame macro="">
          <xdr:nvGraphicFramePr>
            <xdr:cNvPr id="4" name="Department 1">
              <a:extLst>
                <a:ext uri="{FF2B5EF4-FFF2-40B4-BE49-F238E27FC236}">
                  <a16:creationId xmlns:a16="http://schemas.microsoft.com/office/drawing/2014/main" id="{598322E3-0445-4934-884F-9CE5BFD338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885898" y="3204535"/>
              <a:ext cx="1543345" cy="27836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11</xdr:col>
      <xdr:colOff>81221</xdr:colOff>
      <xdr:row>7</xdr:row>
      <xdr:rowOff>1</xdr:rowOff>
    </xdr:from>
    <xdr:to>
      <xdr:col>16</xdr:col>
      <xdr:colOff>406843</xdr:colOff>
      <xdr:row>10</xdr:row>
      <xdr:rowOff>19848</xdr:rowOff>
    </xdr:to>
    <mc:AlternateContent xmlns:mc="http://schemas.openxmlformats.org/markup-compatibility/2006">
      <mc:Choice xmlns:a14="http://schemas.microsoft.com/office/drawing/2010/main" Requires="a14">
        <xdr:graphicFrame macro="">
          <xdr:nvGraphicFramePr>
            <xdr:cNvPr id="5" name="Budget Status 1">
              <a:extLst>
                <a:ext uri="{FF2B5EF4-FFF2-40B4-BE49-F238E27FC236}">
                  <a16:creationId xmlns:a16="http://schemas.microsoft.com/office/drawing/2014/main" id="{BD8E3EE9-C041-4FA0-915B-BBED95B067E2}"/>
                </a:ext>
              </a:extLst>
            </xdr:cNvPr>
            <xdr:cNvGraphicFramePr/>
          </xdr:nvGraphicFramePr>
          <xdr:xfrm>
            <a:off x="0" y="0"/>
            <a:ext cx="0" cy="0"/>
          </xdr:xfrm>
          <a:graphic>
            <a:graphicData uri="http://schemas.microsoft.com/office/drawing/2010/slicer">
              <sle:slicer xmlns:sle="http://schemas.microsoft.com/office/drawing/2010/slicer" name="Budget Status 1"/>
            </a:graphicData>
          </a:graphic>
        </xdr:graphicFrame>
      </mc:Choice>
      <mc:Fallback>
        <xdr:sp macro="" textlink="">
          <xdr:nvSpPr>
            <xdr:cNvPr id="0" name=""/>
            <xdr:cNvSpPr>
              <a:spLocks noTextEdit="1"/>
            </xdr:cNvSpPr>
          </xdr:nvSpPr>
          <xdr:spPr>
            <a:xfrm>
              <a:off x="6822558" y="1447210"/>
              <a:ext cx="4202076" cy="6400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50800</xdr:colOff>
      <xdr:row>10</xdr:row>
      <xdr:rowOff>25400</xdr:rowOff>
    </xdr:from>
    <xdr:to>
      <xdr:col>9</xdr:col>
      <xdr:colOff>38100</xdr:colOff>
      <xdr:row>19</xdr:row>
      <xdr:rowOff>95250</xdr:rowOff>
    </xdr:to>
    <xdr:graphicFrame macro="">
      <xdr:nvGraphicFramePr>
        <xdr:cNvPr id="6" name="Chart 5">
          <a:extLst>
            <a:ext uri="{FF2B5EF4-FFF2-40B4-BE49-F238E27FC236}">
              <a16:creationId xmlns:a16="http://schemas.microsoft.com/office/drawing/2014/main" id="{5AB98D44-5AE2-4B25-931B-2CAB9AC16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241299</xdr:colOff>
      <xdr:row>10</xdr:row>
      <xdr:rowOff>95251</xdr:rowOff>
    </xdr:from>
    <xdr:to>
      <xdr:col>16</xdr:col>
      <xdr:colOff>273196</xdr:colOff>
      <xdr:row>20</xdr:row>
      <xdr:rowOff>44451</xdr:rowOff>
    </xdr:to>
    <xdr:graphicFrame macro="">
      <xdr:nvGraphicFramePr>
        <xdr:cNvPr id="7" name="Chart 6">
          <a:extLst>
            <a:ext uri="{FF2B5EF4-FFF2-40B4-BE49-F238E27FC236}">
              <a16:creationId xmlns:a16="http://schemas.microsoft.com/office/drawing/2014/main" id="{E1BCC4BE-9BFF-40C4-9D1B-32187B05E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552450</xdr:colOff>
      <xdr:row>10</xdr:row>
      <xdr:rowOff>95250</xdr:rowOff>
    </xdr:from>
    <xdr:to>
      <xdr:col>13</xdr:col>
      <xdr:colOff>139700</xdr:colOff>
      <xdr:row>20</xdr:row>
      <xdr:rowOff>44450</xdr:rowOff>
    </xdr:to>
    <xdr:graphicFrame macro="">
      <xdr:nvGraphicFramePr>
        <xdr:cNvPr id="9" name="Chart 8">
          <a:extLst>
            <a:ext uri="{FF2B5EF4-FFF2-40B4-BE49-F238E27FC236}">
              <a16:creationId xmlns:a16="http://schemas.microsoft.com/office/drawing/2014/main" id="{8DD27FED-C82E-4FB6-BDAF-F59E1F360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234950</xdr:colOff>
      <xdr:row>20</xdr:row>
      <xdr:rowOff>139700</xdr:rowOff>
    </xdr:from>
    <xdr:to>
      <xdr:col>10</xdr:col>
      <xdr:colOff>482600</xdr:colOff>
      <xdr:row>29</xdr:row>
      <xdr:rowOff>88900</xdr:rowOff>
    </xdr:to>
    <xdr:graphicFrame macro="">
      <xdr:nvGraphicFramePr>
        <xdr:cNvPr id="10" name="Chart 9">
          <a:extLst>
            <a:ext uri="{FF2B5EF4-FFF2-40B4-BE49-F238E27FC236}">
              <a16:creationId xmlns:a16="http://schemas.microsoft.com/office/drawing/2014/main" id="{3EC809B4-D935-4673-A7CB-648E8D2BC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139700</xdr:colOff>
      <xdr:row>20</xdr:row>
      <xdr:rowOff>127000</xdr:rowOff>
    </xdr:from>
    <xdr:to>
      <xdr:col>15</xdr:col>
      <xdr:colOff>558800</xdr:colOff>
      <xdr:row>29</xdr:row>
      <xdr:rowOff>101600</xdr:rowOff>
    </xdr:to>
    <xdr:graphicFrame macro="">
      <xdr:nvGraphicFramePr>
        <xdr:cNvPr id="15" name="Chart 14">
          <a:extLst>
            <a:ext uri="{FF2B5EF4-FFF2-40B4-BE49-F238E27FC236}">
              <a16:creationId xmlns:a16="http://schemas.microsoft.com/office/drawing/2014/main" id="{B11FA64F-B7AB-4739-8D66-EFC60DCC7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287966</xdr:colOff>
      <xdr:row>2</xdr:row>
      <xdr:rowOff>193896</xdr:rowOff>
    </xdr:from>
    <xdr:to>
      <xdr:col>4</xdr:col>
      <xdr:colOff>302734</xdr:colOff>
      <xdr:row>6</xdr:row>
      <xdr:rowOff>109131</xdr:rowOff>
    </xdr:to>
    <xdr:sp macro="" textlink="'PIVOT TABLES'!A100">
      <xdr:nvSpPr>
        <xdr:cNvPr id="30" name="TextBox 29">
          <a:extLst>
            <a:ext uri="{FF2B5EF4-FFF2-40B4-BE49-F238E27FC236}">
              <a16:creationId xmlns:a16="http://schemas.microsoft.com/office/drawing/2014/main" id="{FE04D2F7-8918-3A0D-5ED4-E24C9FC25224}"/>
            </a:ext>
          </a:extLst>
        </xdr:cNvPr>
        <xdr:cNvSpPr txBox="1"/>
      </xdr:nvSpPr>
      <xdr:spPr>
        <a:xfrm>
          <a:off x="900815" y="607384"/>
          <a:ext cx="1853314" cy="742212"/>
        </a:xfrm>
        <a:prstGeom prst="rect">
          <a:avLst/>
        </a:prstGeom>
        <a:solidFill>
          <a:schemeClr val="accent2">
            <a:lumMod val="60000"/>
            <a:lumOff val="40000"/>
          </a:schemeClr>
        </a:solidFill>
        <a:ln w="9525" cmpd="sng">
          <a:noFill/>
        </a:ln>
        <a:effectLst>
          <a:outerShdw blurRad="63500" sx="102000" sy="102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7E212F13-43F0-44B3-8775-845B9EDD858D}" type="TxLink">
            <a:rPr lang="en-US" sz="2000" b="1" i="0" u="none" strike="noStrike" cap="none" spc="0">
              <a:ln w="10160">
                <a:noFill/>
                <a:prstDash val="solid"/>
              </a:ln>
              <a:solidFill>
                <a:srgbClr val="000000"/>
              </a:solidFill>
              <a:effectLst>
                <a:outerShdw blurRad="38100" dist="22860" dir="5400000" algn="tl" rotWithShape="0">
                  <a:srgbClr val="000000">
                    <a:alpha val="30000"/>
                  </a:srgbClr>
                </a:outerShdw>
              </a:effectLst>
              <a:latin typeface="Gill Sans MT"/>
            </a:rPr>
            <a:pPr algn="ctr"/>
            <a:t> 27,398,005 </a:t>
          </a:fld>
          <a:endParaRPr lang="en-GB" sz="2000" b="1" cap="none" spc="0">
            <a:ln w="10160">
              <a:no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xdr:col>
      <xdr:colOff>568545</xdr:colOff>
      <xdr:row>3</xdr:row>
      <xdr:rowOff>95987</xdr:rowOff>
    </xdr:from>
    <xdr:to>
      <xdr:col>4</xdr:col>
      <xdr:colOff>191976</xdr:colOff>
      <xdr:row>5</xdr:row>
      <xdr:rowOff>147674</xdr:rowOff>
    </xdr:to>
    <xdr:sp macro="" textlink="">
      <xdr:nvSpPr>
        <xdr:cNvPr id="25" name="TextBox 24">
          <a:extLst>
            <a:ext uri="{FF2B5EF4-FFF2-40B4-BE49-F238E27FC236}">
              <a16:creationId xmlns:a16="http://schemas.microsoft.com/office/drawing/2014/main" id="{BF8AFC48-7263-C28B-53C3-C8209F5F1821}"/>
            </a:ext>
          </a:extLst>
        </xdr:cNvPr>
        <xdr:cNvSpPr txBox="1"/>
      </xdr:nvSpPr>
      <xdr:spPr>
        <a:xfrm>
          <a:off x="1181394" y="716220"/>
          <a:ext cx="1461977" cy="465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Total Budget</a:t>
          </a:r>
        </a:p>
        <a:p>
          <a:pPr algn="ctr"/>
          <a:endParaRPr lang="en-GB" sz="1100" b="1"/>
        </a:p>
      </xdr:txBody>
    </xdr:sp>
    <xdr:clientData/>
  </xdr:twoCellAnchor>
  <xdr:twoCellAnchor>
    <xdr:from>
      <xdr:col>4</xdr:col>
      <xdr:colOff>551121</xdr:colOff>
      <xdr:row>2</xdr:row>
      <xdr:rowOff>193896</xdr:rowOff>
    </xdr:from>
    <xdr:to>
      <xdr:col>7</xdr:col>
      <xdr:colOff>565888</xdr:colOff>
      <xdr:row>6</xdr:row>
      <xdr:rowOff>109131</xdr:rowOff>
    </xdr:to>
    <xdr:sp macro="" textlink="'PIVOT TABLES'!A103">
      <xdr:nvSpPr>
        <xdr:cNvPr id="34" name="TextBox 33">
          <a:extLst>
            <a:ext uri="{FF2B5EF4-FFF2-40B4-BE49-F238E27FC236}">
              <a16:creationId xmlns:a16="http://schemas.microsoft.com/office/drawing/2014/main" id="{291435AF-47C1-3F77-F179-C9835D846F7E}"/>
            </a:ext>
          </a:extLst>
        </xdr:cNvPr>
        <xdr:cNvSpPr txBox="1"/>
      </xdr:nvSpPr>
      <xdr:spPr>
        <a:xfrm>
          <a:off x="3002516" y="607384"/>
          <a:ext cx="1853314" cy="742212"/>
        </a:xfrm>
        <a:prstGeom prst="rect">
          <a:avLst/>
        </a:prstGeom>
        <a:solidFill>
          <a:schemeClr val="accent2">
            <a:lumMod val="60000"/>
            <a:lumOff val="40000"/>
          </a:schemeClr>
        </a:solidFill>
        <a:ln w="9525" cmpd="sng">
          <a:noFill/>
        </a:ln>
        <a:effectLst>
          <a:outerShdw blurRad="63500" sx="102000" sy="102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73D81103-64A7-4C1A-AEA3-28875387E5D2}" type="TxLink">
            <a:rPr lang="en-US" sz="2000" b="1" i="0" u="none" strike="noStrike" cap="none" spc="0">
              <a:ln w="10160">
                <a:noFill/>
                <a:prstDash val="solid"/>
              </a:ln>
              <a:solidFill>
                <a:srgbClr val="000000"/>
              </a:solidFill>
              <a:effectLst>
                <a:outerShdw blurRad="38100" dist="22860" dir="5400000" algn="tl" rotWithShape="0">
                  <a:srgbClr val="000000">
                    <a:alpha val="30000"/>
                  </a:srgbClr>
                </a:outerShdw>
              </a:effectLst>
              <a:latin typeface="Gill Sans MT"/>
            </a:rPr>
            <a:pPr algn="ctr"/>
            <a:t> 27,719,667 </a:t>
          </a:fld>
          <a:endParaRPr lang="en-GB" sz="4000" b="1" cap="none" spc="0">
            <a:ln w="10160">
              <a:no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8</xdr:col>
      <xdr:colOff>142358</xdr:colOff>
      <xdr:row>2</xdr:row>
      <xdr:rowOff>193896</xdr:rowOff>
    </xdr:from>
    <xdr:to>
      <xdr:col>11</xdr:col>
      <xdr:colOff>157126</xdr:colOff>
      <xdr:row>6</xdr:row>
      <xdr:rowOff>109131</xdr:rowOff>
    </xdr:to>
    <xdr:sp macro="" textlink="'PIVOT TABLES'!D107">
      <xdr:nvSpPr>
        <xdr:cNvPr id="35" name="TextBox 34">
          <a:extLst>
            <a:ext uri="{FF2B5EF4-FFF2-40B4-BE49-F238E27FC236}">
              <a16:creationId xmlns:a16="http://schemas.microsoft.com/office/drawing/2014/main" id="{2768CC22-34D9-87F0-A5AE-B12F0B901924}"/>
            </a:ext>
          </a:extLst>
        </xdr:cNvPr>
        <xdr:cNvSpPr txBox="1"/>
      </xdr:nvSpPr>
      <xdr:spPr>
        <a:xfrm>
          <a:off x="5045149" y="607384"/>
          <a:ext cx="1853314" cy="742212"/>
        </a:xfrm>
        <a:prstGeom prst="rect">
          <a:avLst/>
        </a:prstGeom>
        <a:solidFill>
          <a:schemeClr val="accent2">
            <a:lumMod val="60000"/>
            <a:lumOff val="40000"/>
          </a:schemeClr>
        </a:solidFill>
        <a:ln w="9525" cmpd="sng">
          <a:noFill/>
        </a:ln>
        <a:effectLst>
          <a:outerShdw blurRad="63500" sx="102000" sy="102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2B7B97E1-4A8F-4B68-B7AC-A2002CDAC712}" type="TxLink">
            <a:rPr lang="en-US" sz="2000" b="1" i="0" u="none" strike="noStrike" cap="none" spc="0">
              <a:ln w="10160">
                <a:noFill/>
                <a:prstDash val="solid"/>
              </a:ln>
              <a:solidFill>
                <a:srgbClr val="000000"/>
              </a:solidFill>
              <a:effectLst>
                <a:outerShdw blurRad="38100" dist="22860" dir="5400000" algn="tl" rotWithShape="0">
                  <a:srgbClr val="000000">
                    <a:alpha val="30000"/>
                  </a:srgbClr>
                </a:outerShdw>
              </a:effectLst>
              <a:latin typeface="Gill Sans MT"/>
            </a:rPr>
            <a:pPr algn="ctr"/>
            <a:t> 321,662 </a:t>
          </a:fld>
          <a:endParaRPr lang="en-GB" sz="2000" b="1" cap="none" spc="0">
            <a:ln w="10160">
              <a:no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11</xdr:col>
      <xdr:colOff>368596</xdr:colOff>
      <xdr:row>2</xdr:row>
      <xdr:rowOff>193896</xdr:rowOff>
    </xdr:from>
    <xdr:to>
      <xdr:col>13</xdr:col>
      <xdr:colOff>996212</xdr:colOff>
      <xdr:row>6</xdr:row>
      <xdr:rowOff>109131</xdr:rowOff>
    </xdr:to>
    <xdr:sp macro="" textlink="'PIVOT TABLES'!B107">
      <xdr:nvSpPr>
        <xdr:cNvPr id="36" name="TextBox 35">
          <a:extLst>
            <a:ext uri="{FF2B5EF4-FFF2-40B4-BE49-F238E27FC236}">
              <a16:creationId xmlns:a16="http://schemas.microsoft.com/office/drawing/2014/main" id="{4CA8B5F8-5881-D5E7-1C8E-E34D79903436}"/>
            </a:ext>
          </a:extLst>
        </xdr:cNvPr>
        <xdr:cNvSpPr txBox="1"/>
      </xdr:nvSpPr>
      <xdr:spPr>
        <a:xfrm>
          <a:off x="7109933" y="607384"/>
          <a:ext cx="1853314" cy="742212"/>
        </a:xfrm>
        <a:prstGeom prst="rect">
          <a:avLst/>
        </a:prstGeom>
        <a:solidFill>
          <a:schemeClr val="accent2">
            <a:lumMod val="60000"/>
            <a:lumOff val="40000"/>
          </a:schemeClr>
        </a:solidFill>
        <a:ln w="9525" cmpd="sng">
          <a:noFill/>
        </a:ln>
        <a:effectLst>
          <a:outerShdw blurRad="63500" sx="102000" sy="102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4655E89-CB1B-4E62-9EC4-5BF7FDE491D7}" type="TxLink">
            <a:rPr lang="en-US" sz="1800" b="1" i="0" u="none" strike="noStrike" cap="none" spc="0">
              <a:ln w="10160">
                <a:noFill/>
                <a:prstDash val="solid"/>
              </a:ln>
              <a:solidFill>
                <a:srgbClr val="000000"/>
              </a:solidFill>
              <a:effectLst>
                <a:outerShdw blurRad="38100" dist="22860" dir="5400000" algn="tl" rotWithShape="0">
                  <a:srgbClr val="000000">
                    <a:alpha val="30000"/>
                  </a:srgbClr>
                </a:outerShdw>
              </a:effectLst>
              <a:latin typeface="Gill Sans MT"/>
            </a:rPr>
            <a:pPr algn="ctr"/>
            <a:t> 259,128 </a:t>
          </a:fld>
          <a:endParaRPr lang="en-GB" sz="1800" b="1" cap="none" spc="0">
            <a:ln w="10160">
              <a:no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13</xdr:col>
      <xdr:colOff>1141228</xdr:colOff>
      <xdr:row>2</xdr:row>
      <xdr:rowOff>193896</xdr:rowOff>
    </xdr:from>
    <xdr:to>
      <xdr:col>16</xdr:col>
      <xdr:colOff>413487</xdr:colOff>
      <xdr:row>6</xdr:row>
      <xdr:rowOff>109131</xdr:rowOff>
    </xdr:to>
    <xdr:sp macro="" textlink="'PIVOT TABLES'!C107">
      <xdr:nvSpPr>
        <xdr:cNvPr id="37" name="TextBox 36">
          <a:extLst>
            <a:ext uri="{FF2B5EF4-FFF2-40B4-BE49-F238E27FC236}">
              <a16:creationId xmlns:a16="http://schemas.microsoft.com/office/drawing/2014/main" id="{DA7E1A07-52DC-E0AB-4609-6066D02CCB02}"/>
            </a:ext>
          </a:extLst>
        </xdr:cNvPr>
        <xdr:cNvSpPr txBox="1"/>
      </xdr:nvSpPr>
      <xdr:spPr>
        <a:xfrm>
          <a:off x="9108263" y="607384"/>
          <a:ext cx="1923015" cy="742212"/>
        </a:xfrm>
        <a:prstGeom prst="rect">
          <a:avLst/>
        </a:prstGeom>
        <a:solidFill>
          <a:schemeClr val="accent2">
            <a:lumMod val="60000"/>
            <a:lumOff val="40000"/>
          </a:schemeClr>
        </a:solidFill>
        <a:ln w="9525" cmpd="sng">
          <a:noFill/>
        </a:ln>
        <a:effectLst>
          <a:outerShdw blurRad="63500" sx="102000" sy="102000" algn="ctr" rotWithShape="0">
            <a:schemeClr val="accent2">
              <a:lumMod val="7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8FC69DF1-5666-44A9-B4F1-0D66E4798B50}" type="TxLink">
            <a:rPr lang="en-US" sz="2000" b="1" i="0" u="none" strike="noStrike" cap="none" spc="0">
              <a:ln w="10160">
                <a:noFill/>
                <a:prstDash val="solid"/>
              </a:ln>
              <a:solidFill>
                <a:srgbClr val="000000"/>
              </a:solidFill>
              <a:effectLst>
                <a:outerShdw blurRad="38100" dist="22860" dir="5400000" algn="tl" rotWithShape="0">
                  <a:srgbClr val="000000">
                    <a:alpha val="30000"/>
                  </a:srgbClr>
                </a:outerShdw>
              </a:effectLst>
              <a:latin typeface="Gill Sans MT"/>
            </a:rPr>
            <a:pPr algn="ctr"/>
            <a:t> 62,534 </a:t>
          </a:fld>
          <a:endParaRPr lang="en-GB" sz="2000" b="1" cap="none" spc="0">
            <a:ln w="10160">
              <a:no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13</xdr:col>
      <xdr:colOff>1031065</xdr:colOff>
      <xdr:row>3</xdr:row>
      <xdr:rowOff>100712</xdr:rowOff>
    </xdr:from>
    <xdr:to>
      <xdr:col>16</xdr:col>
      <xdr:colOff>516861</xdr:colOff>
      <xdr:row>5</xdr:row>
      <xdr:rowOff>29535</xdr:rowOff>
    </xdr:to>
    <xdr:sp macro="" textlink="">
      <xdr:nvSpPr>
        <xdr:cNvPr id="38" name="TextBox 37">
          <a:extLst>
            <a:ext uri="{FF2B5EF4-FFF2-40B4-BE49-F238E27FC236}">
              <a16:creationId xmlns:a16="http://schemas.microsoft.com/office/drawing/2014/main" id="{8D1C9778-E4FD-C81A-17D7-B1E96BA6B38C}"/>
            </a:ext>
          </a:extLst>
        </xdr:cNvPr>
        <xdr:cNvSpPr txBox="1"/>
      </xdr:nvSpPr>
      <xdr:spPr>
        <a:xfrm>
          <a:off x="8998100" y="720945"/>
          <a:ext cx="2136552" cy="342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Unfavourable Variance</a:t>
          </a:r>
          <a:endParaRPr lang="en-GB" sz="1050" b="1"/>
        </a:p>
      </xdr:txBody>
    </xdr:sp>
    <xdr:clientData/>
  </xdr:twoCellAnchor>
  <xdr:twoCellAnchor>
    <xdr:from>
      <xdr:col>5</xdr:col>
      <xdr:colOff>216194</xdr:colOff>
      <xdr:row>3</xdr:row>
      <xdr:rowOff>90671</xdr:rowOff>
    </xdr:from>
    <xdr:to>
      <xdr:col>7</xdr:col>
      <xdr:colOff>452473</xdr:colOff>
      <xdr:row>5</xdr:row>
      <xdr:rowOff>142358</xdr:rowOff>
    </xdr:to>
    <xdr:sp macro="" textlink="">
      <xdr:nvSpPr>
        <xdr:cNvPr id="39" name="TextBox 38">
          <a:extLst>
            <a:ext uri="{FF2B5EF4-FFF2-40B4-BE49-F238E27FC236}">
              <a16:creationId xmlns:a16="http://schemas.microsoft.com/office/drawing/2014/main" id="{0B8AF9AF-350A-F270-4D2A-BFB4768E7FCC}"/>
            </a:ext>
          </a:extLst>
        </xdr:cNvPr>
        <xdr:cNvSpPr txBox="1"/>
      </xdr:nvSpPr>
      <xdr:spPr>
        <a:xfrm>
          <a:off x="3280438" y="710904"/>
          <a:ext cx="1461977" cy="465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Total Actual</a:t>
          </a:r>
        </a:p>
        <a:p>
          <a:pPr algn="ctr"/>
          <a:endParaRPr lang="en-GB" sz="1100" b="1"/>
        </a:p>
      </xdr:txBody>
    </xdr:sp>
    <xdr:clientData/>
  </xdr:twoCellAnchor>
  <xdr:twoCellAnchor>
    <xdr:from>
      <xdr:col>8</xdr:col>
      <xdr:colOff>243662</xdr:colOff>
      <xdr:row>3</xdr:row>
      <xdr:rowOff>73245</xdr:rowOff>
    </xdr:from>
    <xdr:to>
      <xdr:col>11</xdr:col>
      <xdr:colOff>59070</xdr:colOff>
      <xdr:row>5</xdr:row>
      <xdr:rowOff>124932</xdr:rowOff>
    </xdr:to>
    <xdr:sp macro="" textlink="">
      <xdr:nvSpPr>
        <xdr:cNvPr id="40" name="TextBox 39">
          <a:extLst>
            <a:ext uri="{FF2B5EF4-FFF2-40B4-BE49-F238E27FC236}">
              <a16:creationId xmlns:a16="http://schemas.microsoft.com/office/drawing/2014/main" id="{B5ECED05-2D47-376F-A6CA-D5FC30888615}"/>
            </a:ext>
          </a:extLst>
        </xdr:cNvPr>
        <xdr:cNvSpPr txBox="1"/>
      </xdr:nvSpPr>
      <xdr:spPr>
        <a:xfrm>
          <a:off x="5146453" y="693478"/>
          <a:ext cx="1653954" cy="465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Total Variance</a:t>
          </a:r>
        </a:p>
        <a:p>
          <a:pPr algn="ctr"/>
          <a:endParaRPr lang="en-GB" sz="1600" b="1"/>
        </a:p>
        <a:p>
          <a:pPr algn="ctr"/>
          <a:endParaRPr lang="en-GB" sz="1100" b="1"/>
        </a:p>
      </xdr:txBody>
    </xdr:sp>
    <xdr:clientData/>
  </xdr:twoCellAnchor>
  <xdr:twoCellAnchor>
    <xdr:from>
      <xdr:col>11</xdr:col>
      <xdr:colOff>214130</xdr:colOff>
      <xdr:row>3</xdr:row>
      <xdr:rowOff>122273</xdr:rowOff>
    </xdr:from>
    <xdr:to>
      <xdr:col>13</xdr:col>
      <xdr:colOff>1144477</xdr:colOff>
      <xdr:row>5</xdr:row>
      <xdr:rowOff>173960</xdr:rowOff>
    </xdr:to>
    <xdr:sp macro="" textlink="">
      <xdr:nvSpPr>
        <xdr:cNvPr id="41" name="TextBox 40">
          <a:extLst>
            <a:ext uri="{FF2B5EF4-FFF2-40B4-BE49-F238E27FC236}">
              <a16:creationId xmlns:a16="http://schemas.microsoft.com/office/drawing/2014/main" id="{5A924AD5-2795-BC60-F048-0617C156E630}"/>
            </a:ext>
          </a:extLst>
        </xdr:cNvPr>
        <xdr:cNvSpPr txBox="1"/>
      </xdr:nvSpPr>
      <xdr:spPr>
        <a:xfrm>
          <a:off x="6955467" y="742506"/>
          <a:ext cx="2156045" cy="465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Favourable</a:t>
          </a:r>
          <a:r>
            <a:rPr lang="en-GB" sz="1400" b="1" baseline="0"/>
            <a:t> Variance</a:t>
          </a:r>
          <a:endParaRPr lang="en-GB" sz="1050" b="1"/>
        </a:p>
      </xdr:txBody>
    </xdr:sp>
    <xdr:clientData/>
  </xdr:twoCellAnchor>
  <xdr:twoCellAnchor>
    <xdr:from>
      <xdr:col>2</xdr:col>
      <xdr:colOff>95987</xdr:colOff>
      <xdr:row>0</xdr:row>
      <xdr:rowOff>199362</xdr:rowOff>
    </xdr:from>
    <xdr:to>
      <xdr:col>15</xdr:col>
      <xdr:colOff>516860</xdr:colOff>
      <xdr:row>2</xdr:row>
      <xdr:rowOff>132908</xdr:rowOff>
    </xdr:to>
    <xdr:sp macro="" textlink="">
      <xdr:nvSpPr>
        <xdr:cNvPr id="42" name="Rectangle 41">
          <a:extLst>
            <a:ext uri="{FF2B5EF4-FFF2-40B4-BE49-F238E27FC236}">
              <a16:creationId xmlns:a16="http://schemas.microsoft.com/office/drawing/2014/main" id="{4B7AB70A-6A47-BD37-B480-F9532F7D56B0}"/>
            </a:ext>
          </a:extLst>
        </xdr:cNvPr>
        <xdr:cNvSpPr/>
      </xdr:nvSpPr>
      <xdr:spPr>
        <a:xfrm>
          <a:off x="1321685" y="199362"/>
          <a:ext cx="9200117" cy="34703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solidFill>
                <a:schemeClr val="tx1">
                  <a:lumMod val="95000"/>
                  <a:lumOff val="5000"/>
                </a:schemeClr>
              </a:solidFill>
              <a:latin typeface="+mj-lt"/>
            </a:rPr>
            <a:t>BUDGET</a:t>
          </a:r>
          <a:r>
            <a:rPr lang="en-GB" sz="2000" b="1" baseline="0">
              <a:solidFill>
                <a:schemeClr val="tx1">
                  <a:lumMod val="95000"/>
                  <a:lumOff val="5000"/>
                </a:schemeClr>
              </a:solidFill>
              <a:latin typeface="+mj-lt"/>
            </a:rPr>
            <a:t> VARIANCE ANALYSIS</a:t>
          </a:r>
          <a:endParaRPr lang="en-GB" sz="2000" b="1">
            <a:solidFill>
              <a:schemeClr val="tx1">
                <a:lumMod val="95000"/>
                <a:lumOff val="5000"/>
              </a:schemeClr>
            </a:solidFill>
            <a:latin typeface="+mj-lt"/>
          </a:endParaRPr>
        </a:p>
      </xdr:txBody>
    </xdr:sp>
    <xdr:clientData/>
  </xdr:twoCellAnchor>
  <xdr:twoCellAnchor>
    <xdr:from>
      <xdr:col>14</xdr:col>
      <xdr:colOff>509477</xdr:colOff>
      <xdr:row>1</xdr:row>
      <xdr:rowOff>7384</xdr:rowOff>
    </xdr:from>
    <xdr:to>
      <xdr:col>16</xdr:col>
      <xdr:colOff>369186</xdr:colOff>
      <xdr:row>2</xdr:row>
      <xdr:rowOff>103372</xdr:rowOff>
    </xdr:to>
    <xdr:sp macro="" textlink="">
      <xdr:nvSpPr>
        <xdr:cNvPr id="17" name="Rectangle: Rounded Corners 16">
          <a:extLst>
            <a:ext uri="{FF2B5EF4-FFF2-40B4-BE49-F238E27FC236}">
              <a16:creationId xmlns:a16="http://schemas.microsoft.com/office/drawing/2014/main" id="{933D1D71-7618-9792-E0C9-4F25D13586AF}"/>
            </a:ext>
          </a:extLst>
        </xdr:cNvPr>
        <xdr:cNvSpPr/>
      </xdr:nvSpPr>
      <xdr:spPr>
        <a:xfrm>
          <a:off x="9901570" y="214128"/>
          <a:ext cx="1085407" cy="302732"/>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By: </a:t>
          </a:r>
          <a:r>
            <a:rPr lang="en-GB" sz="1100" baseline="0"/>
            <a:t>OshioPius</a:t>
          </a:r>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ce O." refreshedDate="46219.44554270833" createdVersion="8" refreshedVersion="8" minRefreshableVersion="3" recordCount="816" xr:uid="{23AD81B0-FFC0-49F6-9D90-8F11705CE7C8}">
  <cacheSource type="worksheet">
    <worksheetSource ref="A1:J817" sheet="Clean Data "/>
  </cacheSource>
  <cacheFields count="10">
    <cacheField name="Month" numFmtId="0">
      <sharedItems count="12">
        <s v="Jan"/>
        <s v="Feb"/>
        <s v="Mar"/>
        <s v="Apr"/>
        <s v="May"/>
        <s v="Jun"/>
        <s v="Jul"/>
        <s v="Aug"/>
        <s v="Sep"/>
        <s v="Oct"/>
        <s v="Nov"/>
        <s v="Dec"/>
      </sharedItems>
    </cacheField>
    <cacheField name="Quarter" numFmtId="0">
      <sharedItems count="4">
        <s v="Q1"/>
        <s v="Q2"/>
        <s v="Q3"/>
        <s v="Q4"/>
      </sharedItems>
    </cacheField>
    <cacheField name="Account Type" numFmtId="0">
      <sharedItems count="2">
        <s v="Revenue"/>
        <s v="Expenses"/>
      </sharedItems>
    </cacheField>
    <cacheField name="Line items" numFmtId="0">
      <sharedItems count="41">
        <s v="Product Revenue"/>
        <s v="Service Revenue"/>
        <s v="Subscription Revenue"/>
        <s v="Consulting Revenue"/>
        <s v="Licensing Revenue"/>
        <s v="Other Revenue"/>
        <s v="Salaries &amp; Wages"/>
        <s v="Commissions"/>
        <s v="Advertising &amp; Promotions"/>
        <s v="Travel &amp; Entertainment"/>
        <s v="Software &amp; Subscriptions"/>
        <s v="Training &amp; Development"/>
        <s v="Office Supplies"/>
        <s v="Miscellaneous"/>
        <s v="Rent &amp; Facilities"/>
        <s v="Utilities"/>
        <s v="Equipment &amp; Maintenance"/>
        <s v="Insurance"/>
        <s v="Logistics &amp; Freight"/>
        <s v="Contract Labour"/>
        <s v="Audit &amp; Accounting Fees"/>
        <s v="Bank Charges"/>
        <s v="Recruitment Costs"/>
        <s v="Employee Benefits"/>
        <s v="HR Software"/>
        <s v="Cloud Infrastructure"/>
        <s v="Software Licenses"/>
        <s v="Hardware &amp; Equipment"/>
        <s v="Cybersecurity"/>
        <s v="Support &amp; Maintenance"/>
        <s v="CRM &amp; Tools"/>
        <s v="R&amp;D Materials"/>
        <s v="Patent &amp; IP Fees"/>
        <s v="Software &amp; Tools"/>
        <s v="External Research"/>
        <s v="Procurement Costs"/>
        <s v="Warehousing"/>
        <s v="Legal Fees"/>
        <s v="Compliance &amp; Regulatory"/>
        <s v="Board &amp; Governance"/>
        <s v="PR &amp; Communications"/>
      </sharedItems>
    </cacheField>
    <cacheField name="Department" numFmtId="0">
      <sharedItems count="11">
        <s v="Corporate"/>
        <s v="Sales &amp; Marketing"/>
        <s v="Operations"/>
        <s v="Finance &amp; Admin"/>
        <s v="Human Resources"/>
        <s v="Information Technology"/>
        <s v="Customer Success"/>
        <s v="Research &amp; Development"/>
        <s v="Supply Chain"/>
        <s v="Legal &amp; Compliance"/>
        <s v="Executive Office"/>
      </sharedItems>
    </cacheField>
    <cacheField name="Budget" numFmtId="164">
      <sharedItems containsSemiMixedTypes="0" containsString="0" containsNumber="1" containsInteger="1" minValue="683" maxValue="553000"/>
    </cacheField>
    <cacheField name="Actual" numFmtId="164">
      <sharedItems containsSemiMixedTypes="0" containsString="0" containsNumber="1" containsInteger="1" minValue="457" maxValue="630317"/>
    </cacheField>
    <cacheField name="Variance" numFmtId="164">
      <sharedItems containsSemiMixedTypes="0" containsString="0" containsNumber="1" containsInteger="1" minValue="-30012" maxValue="77317"/>
    </cacheField>
    <cacheField name="Variance %" numFmtId="10">
      <sharedItems containsSemiMixedTypes="0" containsString="0" containsNumber="1" minValue="-0.33089311859443632" maxValue="0.2643939393939394"/>
    </cacheField>
    <cacheField name="Budget Status" numFmtId="0">
      <sharedItems count="2">
        <s v="Favourable"/>
        <s v="Unfavourable"/>
      </sharedItems>
    </cacheField>
  </cacheFields>
  <extLst>
    <ext xmlns:x14="http://schemas.microsoft.com/office/spreadsheetml/2009/9/main" uri="{725AE2AE-9491-48be-B2B4-4EB974FC3084}">
      <x14:pivotCacheDefinition pivotCacheId="1940844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6">
  <r>
    <x v="0"/>
    <x v="0"/>
    <x v="0"/>
    <x v="0"/>
    <x v="0"/>
    <n v="245000"/>
    <n v="247782"/>
    <n v="2782"/>
    <n v="1.1355102040816327E-2"/>
    <x v="0"/>
  </r>
  <r>
    <x v="1"/>
    <x v="0"/>
    <x v="0"/>
    <x v="0"/>
    <x v="0"/>
    <n v="252000"/>
    <n v="254426"/>
    <n v="2426"/>
    <n v="9.6269841269841262E-3"/>
    <x v="0"/>
  </r>
  <r>
    <x v="2"/>
    <x v="0"/>
    <x v="0"/>
    <x v="0"/>
    <x v="0"/>
    <n v="308000"/>
    <n v="312103"/>
    <n v="4103"/>
    <n v="1.3321428571428571E-2"/>
    <x v="0"/>
  </r>
  <r>
    <x v="3"/>
    <x v="1"/>
    <x v="0"/>
    <x v="0"/>
    <x v="0"/>
    <n v="322000"/>
    <n v="342002"/>
    <n v="20002"/>
    <n v="6.2118012422360251E-2"/>
    <x v="0"/>
  </r>
  <r>
    <x v="4"/>
    <x v="1"/>
    <x v="0"/>
    <x v="0"/>
    <x v="0"/>
    <n v="350000"/>
    <n v="354321"/>
    <n v="4321"/>
    <n v="1.2345714285714286E-2"/>
    <x v="0"/>
  </r>
  <r>
    <x v="5"/>
    <x v="1"/>
    <x v="0"/>
    <x v="0"/>
    <x v="0"/>
    <n v="367500"/>
    <n v="341833"/>
    <n v="-25667"/>
    <n v="-6.9842176870748299E-2"/>
    <x v="1"/>
  </r>
  <r>
    <x v="6"/>
    <x v="2"/>
    <x v="0"/>
    <x v="0"/>
    <x v="0"/>
    <n v="332500"/>
    <n v="345780"/>
    <n v="13280"/>
    <n v="3.993984962406015E-2"/>
    <x v="0"/>
  </r>
  <r>
    <x v="7"/>
    <x v="2"/>
    <x v="0"/>
    <x v="0"/>
    <x v="0"/>
    <n v="315000"/>
    <n v="316247"/>
    <n v="1247"/>
    <n v="3.9587301587301589E-3"/>
    <x v="0"/>
  </r>
  <r>
    <x v="8"/>
    <x v="2"/>
    <x v="0"/>
    <x v="0"/>
    <x v="0"/>
    <n v="367500"/>
    <n v="370066"/>
    <n v="2566"/>
    <n v="6.9823129251700682E-3"/>
    <x v="0"/>
  </r>
  <r>
    <x v="9"/>
    <x v="3"/>
    <x v="0"/>
    <x v="0"/>
    <x v="0"/>
    <n v="385000"/>
    <n v="395377"/>
    <n v="10377"/>
    <n v="2.6953246753246753E-2"/>
    <x v="0"/>
  </r>
  <r>
    <x v="10"/>
    <x v="3"/>
    <x v="0"/>
    <x v="0"/>
    <x v="0"/>
    <n v="402500"/>
    <n v="436285"/>
    <n v="33785"/>
    <n v="8.3937888198757762E-2"/>
    <x v="0"/>
  </r>
  <r>
    <x v="11"/>
    <x v="3"/>
    <x v="0"/>
    <x v="0"/>
    <x v="0"/>
    <n v="553000"/>
    <n v="630317"/>
    <n v="77317"/>
    <n v="0.13981374321880652"/>
    <x v="0"/>
  </r>
  <r>
    <x v="0"/>
    <x v="0"/>
    <x v="0"/>
    <x v="1"/>
    <x v="0"/>
    <n v="105000"/>
    <n v="111237"/>
    <n v="6237"/>
    <n v="5.9400000000000001E-2"/>
    <x v="0"/>
  </r>
  <r>
    <x v="1"/>
    <x v="0"/>
    <x v="0"/>
    <x v="1"/>
    <x v="0"/>
    <n v="108000"/>
    <n v="110876"/>
    <n v="2876"/>
    <n v="2.6629629629629628E-2"/>
    <x v="0"/>
  </r>
  <r>
    <x v="2"/>
    <x v="0"/>
    <x v="0"/>
    <x v="1"/>
    <x v="0"/>
    <n v="132000"/>
    <n v="128792"/>
    <n v="-3208"/>
    <n v="-2.4303030303030302E-2"/>
    <x v="1"/>
  </r>
  <r>
    <x v="3"/>
    <x v="1"/>
    <x v="0"/>
    <x v="1"/>
    <x v="0"/>
    <n v="138000"/>
    <n v="132359"/>
    <n v="-5641"/>
    <n v="-4.0876811594202901E-2"/>
    <x v="1"/>
  </r>
  <r>
    <x v="4"/>
    <x v="1"/>
    <x v="0"/>
    <x v="1"/>
    <x v="0"/>
    <n v="150000"/>
    <n v="155217"/>
    <n v="5217"/>
    <n v="3.4779999999999998E-2"/>
    <x v="0"/>
  </r>
  <r>
    <x v="5"/>
    <x v="1"/>
    <x v="0"/>
    <x v="1"/>
    <x v="0"/>
    <n v="157500"/>
    <n v="173040"/>
    <n v="15540"/>
    <n v="9.8666666666666666E-2"/>
    <x v="0"/>
  </r>
  <r>
    <x v="6"/>
    <x v="2"/>
    <x v="0"/>
    <x v="1"/>
    <x v="0"/>
    <n v="142500"/>
    <n v="145706"/>
    <n v="3206"/>
    <n v="2.2498245614035087E-2"/>
    <x v="0"/>
  </r>
  <r>
    <x v="7"/>
    <x v="2"/>
    <x v="0"/>
    <x v="1"/>
    <x v="0"/>
    <n v="135000"/>
    <n v="136839"/>
    <n v="1839"/>
    <n v="1.3622222222222223E-2"/>
    <x v="0"/>
  </r>
  <r>
    <x v="8"/>
    <x v="2"/>
    <x v="0"/>
    <x v="1"/>
    <x v="0"/>
    <n v="157500"/>
    <n v="165675"/>
    <n v="8175"/>
    <n v="5.1904761904761905E-2"/>
    <x v="0"/>
  </r>
  <r>
    <x v="9"/>
    <x v="3"/>
    <x v="0"/>
    <x v="1"/>
    <x v="0"/>
    <n v="165000"/>
    <n v="153910"/>
    <n v="-11090"/>
    <n v="-6.7212121212121209E-2"/>
    <x v="1"/>
  </r>
  <r>
    <x v="10"/>
    <x v="3"/>
    <x v="0"/>
    <x v="1"/>
    <x v="0"/>
    <n v="172500"/>
    <n v="181343"/>
    <n v="8843"/>
    <n v="5.1263768115942028E-2"/>
    <x v="0"/>
  </r>
  <r>
    <x v="11"/>
    <x v="3"/>
    <x v="0"/>
    <x v="1"/>
    <x v="0"/>
    <n v="237000"/>
    <n v="260563"/>
    <n v="23563"/>
    <n v="9.9421940928270044E-2"/>
    <x v="0"/>
  </r>
  <r>
    <x v="0"/>
    <x v="0"/>
    <x v="0"/>
    <x v="2"/>
    <x v="0"/>
    <n v="145833"/>
    <n v="156392"/>
    <n v="10559"/>
    <n v="7.240473692511297E-2"/>
    <x v="0"/>
  </r>
  <r>
    <x v="1"/>
    <x v="0"/>
    <x v="0"/>
    <x v="2"/>
    <x v="0"/>
    <n v="150000"/>
    <n v="150834"/>
    <n v="834"/>
    <n v="5.5599999999999998E-3"/>
    <x v="0"/>
  </r>
  <r>
    <x v="2"/>
    <x v="0"/>
    <x v="0"/>
    <x v="2"/>
    <x v="0"/>
    <n v="183333"/>
    <n v="191142"/>
    <n v="7809"/>
    <n v="4.2594622899314365E-2"/>
    <x v="0"/>
  </r>
  <r>
    <x v="3"/>
    <x v="1"/>
    <x v="0"/>
    <x v="2"/>
    <x v="0"/>
    <n v="191667"/>
    <n v="198355"/>
    <n v="6688"/>
    <n v="3.4893852358517635E-2"/>
    <x v="0"/>
  </r>
  <r>
    <x v="4"/>
    <x v="1"/>
    <x v="0"/>
    <x v="2"/>
    <x v="0"/>
    <n v="208333"/>
    <n v="222279"/>
    <n v="13946"/>
    <n v="6.6940907105451364E-2"/>
    <x v="0"/>
  </r>
  <r>
    <x v="5"/>
    <x v="1"/>
    <x v="0"/>
    <x v="2"/>
    <x v="0"/>
    <n v="218750"/>
    <n v="208514"/>
    <n v="-10236"/>
    <n v="-4.679314285714286E-2"/>
    <x v="1"/>
  </r>
  <r>
    <x v="6"/>
    <x v="2"/>
    <x v="0"/>
    <x v="2"/>
    <x v="0"/>
    <n v="197917"/>
    <n v="208623"/>
    <n v="10706"/>
    <n v="5.4093382579566182E-2"/>
    <x v="0"/>
  </r>
  <r>
    <x v="7"/>
    <x v="2"/>
    <x v="0"/>
    <x v="2"/>
    <x v="0"/>
    <n v="187500"/>
    <n v="174212"/>
    <n v="-13288"/>
    <n v="-7.086933333333334E-2"/>
    <x v="1"/>
  </r>
  <r>
    <x v="8"/>
    <x v="2"/>
    <x v="0"/>
    <x v="2"/>
    <x v="0"/>
    <n v="218750"/>
    <n v="188738"/>
    <n v="-30012"/>
    <n v="-0.13719771428571428"/>
    <x v="1"/>
  </r>
  <r>
    <x v="9"/>
    <x v="3"/>
    <x v="0"/>
    <x v="2"/>
    <x v="0"/>
    <n v="229167"/>
    <n v="225406"/>
    <n v="-3761"/>
    <n v="-1.6411612492200012E-2"/>
    <x v="1"/>
  </r>
  <r>
    <x v="10"/>
    <x v="3"/>
    <x v="0"/>
    <x v="2"/>
    <x v="0"/>
    <n v="239583"/>
    <n v="243189"/>
    <n v="3606"/>
    <n v="1.5051151375514956E-2"/>
    <x v="0"/>
  </r>
  <r>
    <x v="11"/>
    <x v="3"/>
    <x v="0"/>
    <x v="2"/>
    <x v="0"/>
    <n v="329167"/>
    <n v="369510"/>
    <n v="40343"/>
    <n v="0.12256088854593565"/>
    <x v="0"/>
  </r>
  <r>
    <x v="0"/>
    <x v="0"/>
    <x v="0"/>
    <x v="3"/>
    <x v="0"/>
    <n v="52500"/>
    <n v="55642"/>
    <n v="3142"/>
    <n v="5.9847619047619045E-2"/>
    <x v="0"/>
  </r>
  <r>
    <x v="1"/>
    <x v="0"/>
    <x v="0"/>
    <x v="3"/>
    <x v="0"/>
    <n v="54000"/>
    <n v="51130"/>
    <n v="-2870"/>
    <n v="-5.3148148148148146E-2"/>
    <x v="1"/>
  </r>
  <r>
    <x v="2"/>
    <x v="0"/>
    <x v="0"/>
    <x v="3"/>
    <x v="0"/>
    <n v="66000"/>
    <n v="70676"/>
    <n v="4676"/>
    <n v="7.0848484848484855E-2"/>
    <x v="0"/>
  </r>
  <r>
    <x v="3"/>
    <x v="1"/>
    <x v="0"/>
    <x v="3"/>
    <x v="0"/>
    <n v="69000"/>
    <n v="66231"/>
    <n v="-2769"/>
    <n v="-4.0130434782608693E-2"/>
    <x v="1"/>
  </r>
  <r>
    <x v="4"/>
    <x v="1"/>
    <x v="0"/>
    <x v="3"/>
    <x v="0"/>
    <n v="75000"/>
    <n v="76112"/>
    <n v="1112"/>
    <n v="1.4826666666666667E-2"/>
    <x v="0"/>
  </r>
  <r>
    <x v="5"/>
    <x v="1"/>
    <x v="0"/>
    <x v="3"/>
    <x v="0"/>
    <n v="78750"/>
    <n v="78936"/>
    <n v="186"/>
    <n v="2.3619047619047621E-3"/>
    <x v="0"/>
  </r>
  <r>
    <x v="6"/>
    <x v="2"/>
    <x v="0"/>
    <x v="3"/>
    <x v="0"/>
    <n v="71250"/>
    <n v="73164"/>
    <n v="1914"/>
    <n v="2.6863157894736842E-2"/>
    <x v="0"/>
  </r>
  <r>
    <x v="7"/>
    <x v="2"/>
    <x v="0"/>
    <x v="3"/>
    <x v="0"/>
    <n v="67500"/>
    <n v="72165"/>
    <n v="4665"/>
    <n v="6.9111111111111109E-2"/>
    <x v="0"/>
  </r>
  <r>
    <x v="8"/>
    <x v="2"/>
    <x v="0"/>
    <x v="3"/>
    <x v="0"/>
    <n v="78750"/>
    <n v="83342"/>
    <n v="4592"/>
    <n v="5.8311111111111112E-2"/>
    <x v="0"/>
  </r>
  <r>
    <x v="9"/>
    <x v="3"/>
    <x v="0"/>
    <x v="3"/>
    <x v="0"/>
    <n v="82500"/>
    <n v="85882"/>
    <n v="3382"/>
    <n v="4.0993939393939395E-2"/>
    <x v="0"/>
  </r>
  <r>
    <x v="10"/>
    <x v="3"/>
    <x v="0"/>
    <x v="3"/>
    <x v="0"/>
    <n v="86250"/>
    <n v="95651"/>
    <n v="9401"/>
    <n v="0.10899710144927537"/>
    <x v="0"/>
  </r>
  <r>
    <x v="11"/>
    <x v="3"/>
    <x v="0"/>
    <x v="3"/>
    <x v="0"/>
    <n v="118500"/>
    <n v="130197"/>
    <n v="11697"/>
    <n v="9.8708860759493672E-2"/>
    <x v="0"/>
  </r>
  <r>
    <x v="0"/>
    <x v="0"/>
    <x v="0"/>
    <x v="4"/>
    <x v="0"/>
    <n v="35000"/>
    <n v="34383"/>
    <n v="-617"/>
    <n v="-1.7628571428571427E-2"/>
    <x v="1"/>
  </r>
  <r>
    <x v="1"/>
    <x v="0"/>
    <x v="0"/>
    <x v="4"/>
    <x v="0"/>
    <n v="36000"/>
    <n v="35170"/>
    <n v="-830"/>
    <n v="-2.3055555555555555E-2"/>
    <x v="1"/>
  </r>
  <r>
    <x v="2"/>
    <x v="0"/>
    <x v="0"/>
    <x v="4"/>
    <x v="0"/>
    <n v="44000"/>
    <n v="43639"/>
    <n v="-361"/>
    <n v="-8.2045454545454539E-3"/>
    <x v="1"/>
  </r>
  <r>
    <x v="3"/>
    <x v="1"/>
    <x v="0"/>
    <x v="4"/>
    <x v="0"/>
    <n v="46000"/>
    <n v="48298"/>
    <n v="2298"/>
    <n v="4.9956521739130434E-2"/>
    <x v="0"/>
  </r>
  <r>
    <x v="4"/>
    <x v="1"/>
    <x v="0"/>
    <x v="4"/>
    <x v="0"/>
    <n v="50000"/>
    <n v="50250"/>
    <n v="250"/>
    <n v="5.0000000000000001E-3"/>
    <x v="0"/>
  </r>
  <r>
    <x v="5"/>
    <x v="1"/>
    <x v="0"/>
    <x v="4"/>
    <x v="0"/>
    <n v="52500"/>
    <n v="60908"/>
    <n v="8408"/>
    <n v="0.16015238095238096"/>
    <x v="0"/>
  </r>
  <r>
    <x v="6"/>
    <x v="2"/>
    <x v="0"/>
    <x v="4"/>
    <x v="0"/>
    <n v="47500"/>
    <n v="46115"/>
    <n v="-1385"/>
    <n v="-2.9157894736842105E-2"/>
    <x v="1"/>
  </r>
  <r>
    <x v="7"/>
    <x v="2"/>
    <x v="0"/>
    <x v="4"/>
    <x v="0"/>
    <n v="45000"/>
    <n v="42933"/>
    <n v="-2067"/>
    <n v="-4.5933333333333333E-2"/>
    <x v="1"/>
  </r>
  <r>
    <x v="8"/>
    <x v="2"/>
    <x v="0"/>
    <x v="4"/>
    <x v="0"/>
    <n v="52500"/>
    <n v="55971"/>
    <n v="3471"/>
    <n v="6.6114285714285709E-2"/>
    <x v="0"/>
  </r>
  <r>
    <x v="9"/>
    <x v="3"/>
    <x v="0"/>
    <x v="4"/>
    <x v="0"/>
    <n v="55000"/>
    <n v="60792"/>
    <n v="5792"/>
    <n v="0.10530909090909091"/>
    <x v="0"/>
  </r>
  <r>
    <x v="10"/>
    <x v="3"/>
    <x v="0"/>
    <x v="4"/>
    <x v="0"/>
    <n v="57500"/>
    <n v="63270"/>
    <n v="5770"/>
    <n v="0.10034782608695653"/>
    <x v="0"/>
  </r>
  <r>
    <x v="11"/>
    <x v="3"/>
    <x v="0"/>
    <x v="4"/>
    <x v="0"/>
    <n v="79000"/>
    <n v="88492"/>
    <n v="9492"/>
    <n v="0.12015189873417721"/>
    <x v="0"/>
  </r>
  <r>
    <x v="0"/>
    <x v="0"/>
    <x v="0"/>
    <x v="5"/>
    <x v="0"/>
    <n v="8750"/>
    <n v="9674"/>
    <n v="924"/>
    <n v="0.1056"/>
    <x v="0"/>
  </r>
  <r>
    <x v="1"/>
    <x v="0"/>
    <x v="0"/>
    <x v="5"/>
    <x v="0"/>
    <n v="9000"/>
    <n v="9129"/>
    <n v="129"/>
    <n v="1.4333333333333333E-2"/>
    <x v="0"/>
  </r>
  <r>
    <x v="2"/>
    <x v="0"/>
    <x v="0"/>
    <x v="5"/>
    <x v="0"/>
    <n v="11000"/>
    <n v="10281"/>
    <n v="-719"/>
    <n v="-6.536363636363636E-2"/>
    <x v="1"/>
  </r>
  <r>
    <x v="3"/>
    <x v="1"/>
    <x v="0"/>
    <x v="5"/>
    <x v="0"/>
    <n v="11500"/>
    <n v="11363"/>
    <n v="-137"/>
    <n v="-1.191304347826087E-2"/>
    <x v="1"/>
  </r>
  <r>
    <x v="4"/>
    <x v="1"/>
    <x v="0"/>
    <x v="5"/>
    <x v="0"/>
    <n v="12500"/>
    <n v="13465"/>
    <n v="965"/>
    <n v="7.7200000000000005E-2"/>
    <x v="0"/>
  </r>
  <r>
    <x v="5"/>
    <x v="1"/>
    <x v="0"/>
    <x v="5"/>
    <x v="0"/>
    <n v="13125"/>
    <n v="12251"/>
    <n v="-874"/>
    <n v="-6.6590476190476186E-2"/>
    <x v="1"/>
  </r>
  <r>
    <x v="6"/>
    <x v="2"/>
    <x v="0"/>
    <x v="5"/>
    <x v="0"/>
    <n v="11875"/>
    <n v="12136"/>
    <n v="261"/>
    <n v="2.1978947368421053E-2"/>
    <x v="0"/>
  </r>
  <r>
    <x v="7"/>
    <x v="2"/>
    <x v="0"/>
    <x v="5"/>
    <x v="0"/>
    <n v="11250"/>
    <n v="11646"/>
    <n v="396"/>
    <n v="3.5200000000000002E-2"/>
    <x v="0"/>
  </r>
  <r>
    <x v="8"/>
    <x v="2"/>
    <x v="0"/>
    <x v="5"/>
    <x v="0"/>
    <n v="13125"/>
    <n v="13139"/>
    <n v="14"/>
    <n v="1.0666666666666667E-3"/>
    <x v="0"/>
  </r>
  <r>
    <x v="9"/>
    <x v="3"/>
    <x v="0"/>
    <x v="5"/>
    <x v="0"/>
    <n v="13750"/>
    <n v="14622"/>
    <n v="872"/>
    <n v="6.3418181818181818E-2"/>
    <x v="0"/>
  </r>
  <r>
    <x v="10"/>
    <x v="3"/>
    <x v="0"/>
    <x v="5"/>
    <x v="0"/>
    <n v="14375"/>
    <n v="15882"/>
    <n v="1507"/>
    <n v="0.10483478260869565"/>
    <x v="0"/>
  </r>
  <r>
    <x v="11"/>
    <x v="3"/>
    <x v="0"/>
    <x v="5"/>
    <x v="0"/>
    <n v="19750"/>
    <n v="23883"/>
    <n v="4133"/>
    <n v="0.20926582278481012"/>
    <x v="0"/>
  </r>
  <r>
    <x v="0"/>
    <x v="0"/>
    <x v="1"/>
    <x v="6"/>
    <x v="1"/>
    <n v="127500"/>
    <n v="126723"/>
    <n v="-777"/>
    <n v="-6.0941176470588236E-3"/>
    <x v="0"/>
  </r>
  <r>
    <x v="1"/>
    <x v="0"/>
    <x v="1"/>
    <x v="6"/>
    <x v="1"/>
    <n v="123000"/>
    <n v="121977"/>
    <n v="-1023"/>
    <n v="-8.3170731707317078E-3"/>
    <x v="0"/>
  </r>
  <r>
    <x v="2"/>
    <x v="0"/>
    <x v="1"/>
    <x v="6"/>
    <x v="1"/>
    <n v="138000"/>
    <n v="137218"/>
    <n v="-782"/>
    <n v="-5.6666666666666671E-3"/>
    <x v="0"/>
  </r>
  <r>
    <x v="3"/>
    <x v="1"/>
    <x v="1"/>
    <x v="6"/>
    <x v="1"/>
    <n v="142500"/>
    <n v="143568"/>
    <n v="1068"/>
    <n v="7.4947368421052632E-3"/>
    <x v="1"/>
  </r>
  <r>
    <x v="4"/>
    <x v="1"/>
    <x v="1"/>
    <x v="6"/>
    <x v="1"/>
    <n v="150000"/>
    <n v="149560"/>
    <n v="-440"/>
    <n v="-2.9333333333333334E-3"/>
    <x v="0"/>
  </r>
  <r>
    <x v="5"/>
    <x v="1"/>
    <x v="1"/>
    <x v="6"/>
    <x v="1"/>
    <n v="153000"/>
    <n v="151344"/>
    <n v="-1656"/>
    <n v="-1.0823529411764706E-2"/>
    <x v="0"/>
  </r>
  <r>
    <x v="6"/>
    <x v="2"/>
    <x v="1"/>
    <x v="6"/>
    <x v="1"/>
    <n v="132000"/>
    <n v="132549"/>
    <n v="549"/>
    <n v="4.1590909090909092E-3"/>
    <x v="1"/>
  </r>
  <r>
    <x v="7"/>
    <x v="2"/>
    <x v="1"/>
    <x v="6"/>
    <x v="1"/>
    <n v="127500"/>
    <n v="127476"/>
    <n v="-24"/>
    <n v="-1.8823529411764707E-4"/>
    <x v="0"/>
  </r>
  <r>
    <x v="8"/>
    <x v="2"/>
    <x v="1"/>
    <x v="6"/>
    <x v="1"/>
    <n v="150000"/>
    <n v="150252"/>
    <n v="252"/>
    <n v="1.6800000000000001E-3"/>
    <x v="1"/>
  </r>
  <r>
    <x v="9"/>
    <x v="3"/>
    <x v="1"/>
    <x v="6"/>
    <x v="1"/>
    <n v="157500"/>
    <n v="158907"/>
    <n v="1407"/>
    <n v="8.9333333333333331E-3"/>
    <x v="1"/>
  </r>
  <r>
    <x v="10"/>
    <x v="3"/>
    <x v="1"/>
    <x v="6"/>
    <x v="1"/>
    <n v="162000"/>
    <n v="160362"/>
    <n v="-1638"/>
    <n v="-1.0111111111111111E-2"/>
    <x v="0"/>
  </r>
  <r>
    <x v="11"/>
    <x v="3"/>
    <x v="1"/>
    <x v="6"/>
    <x v="1"/>
    <n v="237000"/>
    <n v="237903"/>
    <n v="903"/>
    <n v="3.8101265822784811E-3"/>
    <x v="1"/>
  </r>
  <r>
    <x v="0"/>
    <x v="0"/>
    <x v="1"/>
    <x v="7"/>
    <x v="1"/>
    <n v="29750"/>
    <n v="31575"/>
    <n v="1825"/>
    <n v="6.1344537815126048E-2"/>
    <x v="1"/>
  </r>
  <r>
    <x v="1"/>
    <x v="0"/>
    <x v="1"/>
    <x v="7"/>
    <x v="1"/>
    <n v="28700"/>
    <n v="28657"/>
    <n v="-43"/>
    <n v="-1.4982578397212544E-3"/>
    <x v="0"/>
  </r>
  <r>
    <x v="2"/>
    <x v="0"/>
    <x v="1"/>
    <x v="7"/>
    <x v="1"/>
    <n v="32200"/>
    <n v="35344"/>
    <n v="3144"/>
    <n v="9.7639751552795029E-2"/>
    <x v="1"/>
  </r>
  <r>
    <x v="3"/>
    <x v="1"/>
    <x v="1"/>
    <x v="7"/>
    <x v="1"/>
    <n v="33250"/>
    <n v="32653"/>
    <n v="-597"/>
    <n v="-1.7954887218045112E-2"/>
    <x v="0"/>
  </r>
  <r>
    <x v="4"/>
    <x v="1"/>
    <x v="1"/>
    <x v="7"/>
    <x v="1"/>
    <n v="35000"/>
    <n v="37788"/>
    <n v="2788"/>
    <n v="7.9657142857142857E-2"/>
    <x v="1"/>
  </r>
  <r>
    <x v="5"/>
    <x v="1"/>
    <x v="1"/>
    <x v="7"/>
    <x v="1"/>
    <n v="35700"/>
    <n v="35905"/>
    <n v="205"/>
    <n v="5.7422969187675074E-3"/>
    <x v="1"/>
  </r>
  <r>
    <x v="6"/>
    <x v="2"/>
    <x v="1"/>
    <x v="7"/>
    <x v="1"/>
    <n v="30800"/>
    <n v="31237"/>
    <n v="437"/>
    <n v="1.4188311688311687E-2"/>
    <x v="1"/>
  </r>
  <r>
    <x v="7"/>
    <x v="2"/>
    <x v="1"/>
    <x v="7"/>
    <x v="1"/>
    <n v="29750"/>
    <n v="29261"/>
    <n v="-489"/>
    <n v="-1.6436974789915966E-2"/>
    <x v="0"/>
  </r>
  <r>
    <x v="8"/>
    <x v="2"/>
    <x v="1"/>
    <x v="7"/>
    <x v="1"/>
    <n v="35000"/>
    <n v="36136"/>
    <n v="1136"/>
    <n v="3.2457142857142858E-2"/>
    <x v="1"/>
  </r>
  <r>
    <x v="9"/>
    <x v="3"/>
    <x v="1"/>
    <x v="7"/>
    <x v="1"/>
    <n v="36750"/>
    <n v="40835"/>
    <n v="4085"/>
    <n v="0.11115646258503402"/>
    <x v="1"/>
  </r>
  <r>
    <x v="10"/>
    <x v="3"/>
    <x v="1"/>
    <x v="7"/>
    <x v="1"/>
    <n v="37800"/>
    <n v="40855"/>
    <n v="3055"/>
    <n v="8.082010582010582E-2"/>
    <x v="1"/>
  </r>
  <r>
    <x v="11"/>
    <x v="3"/>
    <x v="1"/>
    <x v="7"/>
    <x v="1"/>
    <n v="55300"/>
    <n v="59417"/>
    <n v="4117"/>
    <n v="7.4448462929475587E-2"/>
    <x v="1"/>
  </r>
  <r>
    <x v="0"/>
    <x v="0"/>
    <x v="1"/>
    <x v="8"/>
    <x v="1"/>
    <n v="26917"/>
    <n v="23719"/>
    <n v="-3198"/>
    <n v="-0.11880967418360144"/>
    <x v="0"/>
  </r>
  <r>
    <x v="1"/>
    <x v="0"/>
    <x v="1"/>
    <x v="8"/>
    <x v="1"/>
    <n v="25967"/>
    <n v="26890"/>
    <n v="923"/>
    <n v="3.5545114953594949E-2"/>
    <x v="1"/>
  </r>
  <r>
    <x v="2"/>
    <x v="0"/>
    <x v="1"/>
    <x v="8"/>
    <x v="1"/>
    <n v="29133"/>
    <n v="29943"/>
    <n v="810"/>
    <n v="2.7803521779425393E-2"/>
    <x v="1"/>
  </r>
  <r>
    <x v="3"/>
    <x v="1"/>
    <x v="1"/>
    <x v="8"/>
    <x v="1"/>
    <n v="30083"/>
    <n v="29256"/>
    <n v="-827"/>
    <n v="-2.749060931423063E-2"/>
    <x v="0"/>
  </r>
  <r>
    <x v="4"/>
    <x v="1"/>
    <x v="1"/>
    <x v="8"/>
    <x v="1"/>
    <n v="31667"/>
    <n v="30674"/>
    <n v="-993"/>
    <n v="-3.1357564657214135E-2"/>
    <x v="0"/>
  </r>
  <r>
    <x v="5"/>
    <x v="1"/>
    <x v="1"/>
    <x v="8"/>
    <x v="1"/>
    <n v="32300"/>
    <n v="32296"/>
    <n v="-4"/>
    <n v="-1.238390092879257E-4"/>
    <x v="0"/>
  </r>
  <r>
    <x v="6"/>
    <x v="2"/>
    <x v="1"/>
    <x v="8"/>
    <x v="1"/>
    <n v="27867"/>
    <n v="31385"/>
    <n v="3518"/>
    <n v="0.1262425090608964"/>
    <x v="1"/>
  </r>
  <r>
    <x v="7"/>
    <x v="2"/>
    <x v="1"/>
    <x v="8"/>
    <x v="1"/>
    <n v="26917"/>
    <n v="26574"/>
    <n v="-343"/>
    <n v="-1.2742876249210536E-2"/>
    <x v="0"/>
  </r>
  <r>
    <x v="8"/>
    <x v="2"/>
    <x v="1"/>
    <x v="8"/>
    <x v="1"/>
    <n v="31667"/>
    <n v="32256"/>
    <n v="589"/>
    <n v="1.8599804212587237E-2"/>
    <x v="1"/>
  </r>
  <r>
    <x v="9"/>
    <x v="3"/>
    <x v="1"/>
    <x v="8"/>
    <x v="1"/>
    <n v="33250"/>
    <n v="36844"/>
    <n v="3594"/>
    <n v="0.10809022556390978"/>
    <x v="1"/>
  </r>
  <r>
    <x v="10"/>
    <x v="3"/>
    <x v="1"/>
    <x v="8"/>
    <x v="1"/>
    <n v="34200"/>
    <n v="34805"/>
    <n v="605"/>
    <n v="1.7690058479532162E-2"/>
    <x v="1"/>
  </r>
  <r>
    <x v="11"/>
    <x v="3"/>
    <x v="1"/>
    <x v="8"/>
    <x v="1"/>
    <n v="50033"/>
    <n v="51123"/>
    <n v="1090"/>
    <n v="2.178562148981672E-2"/>
    <x v="1"/>
  </r>
  <r>
    <x v="0"/>
    <x v="0"/>
    <x v="1"/>
    <x v="9"/>
    <x v="1"/>
    <n v="8500"/>
    <n v="8542"/>
    <n v="42"/>
    <n v="4.9411764705882353E-3"/>
    <x v="1"/>
  </r>
  <r>
    <x v="1"/>
    <x v="0"/>
    <x v="1"/>
    <x v="9"/>
    <x v="1"/>
    <n v="8200"/>
    <n v="7691"/>
    <n v="-509"/>
    <n v="-6.2073170731707317E-2"/>
    <x v="0"/>
  </r>
  <r>
    <x v="2"/>
    <x v="0"/>
    <x v="1"/>
    <x v="9"/>
    <x v="1"/>
    <n v="9200"/>
    <n v="9301"/>
    <n v="101"/>
    <n v="1.0978260869565217E-2"/>
    <x v="1"/>
  </r>
  <r>
    <x v="3"/>
    <x v="1"/>
    <x v="1"/>
    <x v="9"/>
    <x v="1"/>
    <n v="9500"/>
    <n v="8925"/>
    <n v="-575"/>
    <n v="-6.0526315789473685E-2"/>
    <x v="0"/>
  </r>
  <r>
    <x v="4"/>
    <x v="1"/>
    <x v="1"/>
    <x v="9"/>
    <x v="1"/>
    <n v="10000"/>
    <n v="10443"/>
    <n v="443"/>
    <n v="4.4299999999999999E-2"/>
    <x v="1"/>
  </r>
  <r>
    <x v="5"/>
    <x v="1"/>
    <x v="1"/>
    <x v="9"/>
    <x v="1"/>
    <n v="10200"/>
    <n v="10202"/>
    <n v="2"/>
    <n v="1.9607843137254901E-4"/>
    <x v="1"/>
  </r>
  <r>
    <x v="6"/>
    <x v="2"/>
    <x v="1"/>
    <x v="9"/>
    <x v="1"/>
    <n v="8800"/>
    <n v="10157"/>
    <n v="1357"/>
    <n v="0.15420454545454546"/>
    <x v="1"/>
  </r>
  <r>
    <x v="7"/>
    <x v="2"/>
    <x v="1"/>
    <x v="9"/>
    <x v="1"/>
    <n v="8500"/>
    <n v="8959"/>
    <n v="459"/>
    <n v="5.3999999999999999E-2"/>
    <x v="1"/>
  </r>
  <r>
    <x v="8"/>
    <x v="2"/>
    <x v="1"/>
    <x v="9"/>
    <x v="1"/>
    <n v="10000"/>
    <n v="11083"/>
    <n v="1083"/>
    <n v="0.10829999999999999"/>
    <x v="1"/>
  </r>
  <r>
    <x v="9"/>
    <x v="3"/>
    <x v="1"/>
    <x v="9"/>
    <x v="1"/>
    <n v="10500"/>
    <n v="10236"/>
    <n v="-264"/>
    <n v="-2.5142857142857144E-2"/>
    <x v="0"/>
  </r>
  <r>
    <x v="10"/>
    <x v="3"/>
    <x v="1"/>
    <x v="9"/>
    <x v="1"/>
    <n v="10800"/>
    <n v="11166"/>
    <n v="366"/>
    <n v="3.3888888888888892E-2"/>
    <x v="1"/>
  </r>
  <r>
    <x v="11"/>
    <x v="3"/>
    <x v="1"/>
    <x v="9"/>
    <x v="1"/>
    <n v="15800"/>
    <n v="16687"/>
    <n v="887"/>
    <n v="5.6139240506329111E-2"/>
    <x v="1"/>
  </r>
  <r>
    <x v="0"/>
    <x v="0"/>
    <x v="1"/>
    <x v="10"/>
    <x v="1"/>
    <n v="3188"/>
    <n v="3466"/>
    <n v="278"/>
    <n v="8.720200752823086E-2"/>
    <x v="1"/>
  </r>
  <r>
    <x v="1"/>
    <x v="0"/>
    <x v="1"/>
    <x v="10"/>
    <x v="1"/>
    <n v="3075"/>
    <n v="2817"/>
    <n v="-258"/>
    <n v="-8.3902439024390249E-2"/>
    <x v="0"/>
  </r>
  <r>
    <x v="2"/>
    <x v="0"/>
    <x v="1"/>
    <x v="10"/>
    <x v="1"/>
    <n v="3450"/>
    <n v="3621"/>
    <n v="171"/>
    <n v="4.9565217391304345E-2"/>
    <x v="1"/>
  </r>
  <r>
    <x v="3"/>
    <x v="1"/>
    <x v="1"/>
    <x v="10"/>
    <x v="1"/>
    <n v="3562"/>
    <n v="3667"/>
    <n v="105"/>
    <n v="2.9477821448624368E-2"/>
    <x v="1"/>
  </r>
  <r>
    <x v="4"/>
    <x v="1"/>
    <x v="1"/>
    <x v="10"/>
    <x v="1"/>
    <n v="3750"/>
    <n v="4038"/>
    <n v="288"/>
    <n v="7.6799999999999993E-2"/>
    <x v="1"/>
  </r>
  <r>
    <x v="5"/>
    <x v="1"/>
    <x v="1"/>
    <x v="10"/>
    <x v="1"/>
    <n v="3825"/>
    <n v="3961"/>
    <n v="136"/>
    <n v="3.5555555555555556E-2"/>
    <x v="1"/>
  </r>
  <r>
    <x v="6"/>
    <x v="2"/>
    <x v="1"/>
    <x v="10"/>
    <x v="1"/>
    <n v="3300"/>
    <n v="3441"/>
    <n v="141"/>
    <n v="4.2727272727272725E-2"/>
    <x v="1"/>
  </r>
  <r>
    <x v="7"/>
    <x v="2"/>
    <x v="1"/>
    <x v="10"/>
    <x v="1"/>
    <n v="3188"/>
    <n v="3232"/>
    <n v="44"/>
    <n v="1.3801756587202008E-2"/>
    <x v="1"/>
  </r>
  <r>
    <x v="8"/>
    <x v="2"/>
    <x v="1"/>
    <x v="10"/>
    <x v="1"/>
    <n v="3750"/>
    <n v="3666"/>
    <n v="-84"/>
    <n v="-2.24E-2"/>
    <x v="0"/>
  </r>
  <r>
    <x v="9"/>
    <x v="3"/>
    <x v="1"/>
    <x v="10"/>
    <x v="1"/>
    <n v="3938"/>
    <n v="4134"/>
    <n v="196"/>
    <n v="4.9771457592686641E-2"/>
    <x v="1"/>
  </r>
  <r>
    <x v="10"/>
    <x v="3"/>
    <x v="1"/>
    <x v="10"/>
    <x v="1"/>
    <n v="4050"/>
    <n v="4173"/>
    <n v="123"/>
    <n v="3.037037037037037E-2"/>
    <x v="1"/>
  </r>
  <r>
    <x v="11"/>
    <x v="3"/>
    <x v="1"/>
    <x v="10"/>
    <x v="1"/>
    <n v="5925"/>
    <n v="6761"/>
    <n v="836"/>
    <n v="0.1410970464135021"/>
    <x v="1"/>
  </r>
  <r>
    <x v="0"/>
    <x v="0"/>
    <x v="1"/>
    <x v="11"/>
    <x v="1"/>
    <n v="2125"/>
    <n v="2060"/>
    <n v="-65"/>
    <n v="-3.0588235294117649E-2"/>
    <x v="0"/>
  </r>
  <r>
    <x v="1"/>
    <x v="0"/>
    <x v="1"/>
    <x v="11"/>
    <x v="1"/>
    <n v="2050"/>
    <n v="2083"/>
    <n v="33"/>
    <n v="1.6097560975609757E-2"/>
    <x v="1"/>
  </r>
  <r>
    <x v="2"/>
    <x v="0"/>
    <x v="1"/>
    <x v="11"/>
    <x v="1"/>
    <n v="2300"/>
    <n v="2120"/>
    <n v="-180"/>
    <n v="-7.8260869565217397E-2"/>
    <x v="0"/>
  </r>
  <r>
    <x v="3"/>
    <x v="1"/>
    <x v="1"/>
    <x v="11"/>
    <x v="1"/>
    <n v="2375"/>
    <n v="2328"/>
    <n v="-47"/>
    <n v="-1.9789473684210527E-2"/>
    <x v="0"/>
  </r>
  <r>
    <x v="4"/>
    <x v="1"/>
    <x v="1"/>
    <x v="11"/>
    <x v="1"/>
    <n v="2500"/>
    <n v="2533"/>
    <n v="33"/>
    <n v="1.32E-2"/>
    <x v="1"/>
  </r>
  <r>
    <x v="5"/>
    <x v="1"/>
    <x v="1"/>
    <x v="11"/>
    <x v="1"/>
    <n v="2550"/>
    <n v="2655"/>
    <n v="105"/>
    <n v="4.1176470588235294E-2"/>
    <x v="1"/>
  </r>
  <r>
    <x v="6"/>
    <x v="2"/>
    <x v="1"/>
    <x v="11"/>
    <x v="1"/>
    <n v="2200"/>
    <n v="2447"/>
    <n v="247"/>
    <n v="0.11227272727272727"/>
    <x v="1"/>
  </r>
  <r>
    <x v="7"/>
    <x v="2"/>
    <x v="1"/>
    <x v="11"/>
    <x v="1"/>
    <n v="2125"/>
    <n v="2205"/>
    <n v="80"/>
    <n v="3.7647058823529408E-2"/>
    <x v="1"/>
  </r>
  <r>
    <x v="8"/>
    <x v="2"/>
    <x v="1"/>
    <x v="11"/>
    <x v="1"/>
    <n v="2500"/>
    <n v="2460"/>
    <n v="-40"/>
    <n v="-1.6E-2"/>
    <x v="0"/>
  </r>
  <r>
    <x v="9"/>
    <x v="3"/>
    <x v="1"/>
    <x v="11"/>
    <x v="1"/>
    <n v="2625"/>
    <n v="2790"/>
    <n v="165"/>
    <n v="6.2857142857142861E-2"/>
    <x v="1"/>
  </r>
  <r>
    <x v="10"/>
    <x v="3"/>
    <x v="1"/>
    <x v="11"/>
    <x v="1"/>
    <n v="2700"/>
    <n v="2878"/>
    <n v="178"/>
    <n v="6.5925925925925929E-2"/>
    <x v="1"/>
  </r>
  <r>
    <x v="11"/>
    <x v="3"/>
    <x v="1"/>
    <x v="11"/>
    <x v="1"/>
    <n v="3950"/>
    <n v="4205"/>
    <n v="255"/>
    <n v="6.4556962025316453E-2"/>
    <x v="1"/>
  </r>
  <r>
    <x v="0"/>
    <x v="0"/>
    <x v="1"/>
    <x v="12"/>
    <x v="1"/>
    <n v="1062"/>
    <n v="1025"/>
    <n v="-37"/>
    <n v="-3.4839924670433148E-2"/>
    <x v="0"/>
  </r>
  <r>
    <x v="1"/>
    <x v="0"/>
    <x v="1"/>
    <x v="12"/>
    <x v="1"/>
    <n v="1025"/>
    <n v="1083"/>
    <n v="58"/>
    <n v="5.6585365853658538E-2"/>
    <x v="1"/>
  </r>
  <r>
    <x v="2"/>
    <x v="0"/>
    <x v="1"/>
    <x v="12"/>
    <x v="1"/>
    <n v="1150"/>
    <n v="1155"/>
    <n v="5"/>
    <n v="4.3478260869565218E-3"/>
    <x v="1"/>
  </r>
  <r>
    <x v="3"/>
    <x v="1"/>
    <x v="1"/>
    <x v="12"/>
    <x v="1"/>
    <n v="1188"/>
    <n v="1230"/>
    <n v="42"/>
    <n v="3.5353535353535352E-2"/>
    <x v="1"/>
  </r>
  <r>
    <x v="4"/>
    <x v="1"/>
    <x v="1"/>
    <x v="12"/>
    <x v="1"/>
    <n v="1250"/>
    <n v="1330"/>
    <n v="80"/>
    <n v="6.4000000000000001E-2"/>
    <x v="1"/>
  </r>
  <r>
    <x v="5"/>
    <x v="1"/>
    <x v="1"/>
    <x v="12"/>
    <x v="1"/>
    <n v="1275"/>
    <n v="1314"/>
    <n v="39"/>
    <n v="3.0588235294117649E-2"/>
    <x v="1"/>
  </r>
  <r>
    <x v="6"/>
    <x v="2"/>
    <x v="1"/>
    <x v="12"/>
    <x v="1"/>
    <n v="1100"/>
    <n v="1160"/>
    <n v="60"/>
    <n v="5.4545454545454543E-2"/>
    <x v="1"/>
  </r>
  <r>
    <x v="7"/>
    <x v="2"/>
    <x v="1"/>
    <x v="12"/>
    <x v="1"/>
    <n v="1062"/>
    <n v="1219"/>
    <n v="157"/>
    <n v="0.14783427495291901"/>
    <x v="1"/>
  </r>
  <r>
    <x v="8"/>
    <x v="2"/>
    <x v="1"/>
    <x v="12"/>
    <x v="1"/>
    <n v="1250"/>
    <n v="1315"/>
    <n v="65"/>
    <n v="5.1999999999999998E-2"/>
    <x v="1"/>
  </r>
  <r>
    <x v="9"/>
    <x v="3"/>
    <x v="1"/>
    <x v="12"/>
    <x v="1"/>
    <n v="1312"/>
    <n v="1345"/>
    <n v="33"/>
    <n v="2.5152439024390245E-2"/>
    <x v="1"/>
  </r>
  <r>
    <x v="10"/>
    <x v="3"/>
    <x v="1"/>
    <x v="12"/>
    <x v="1"/>
    <n v="1350"/>
    <n v="1412"/>
    <n v="62"/>
    <n v="4.5925925925925926E-2"/>
    <x v="1"/>
  </r>
  <r>
    <x v="11"/>
    <x v="3"/>
    <x v="1"/>
    <x v="12"/>
    <x v="1"/>
    <n v="1975"/>
    <n v="2200"/>
    <n v="225"/>
    <n v="0.11392405063291139"/>
    <x v="1"/>
  </r>
  <r>
    <x v="0"/>
    <x v="0"/>
    <x v="1"/>
    <x v="13"/>
    <x v="1"/>
    <n v="1417"/>
    <n v="1505"/>
    <n v="88"/>
    <n v="6.2103034580098804E-2"/>
    <x v="1"/>
  </r>
  <r>
    <x v="1"/>
    <x v="0"/>
    <x v="1"/>
    <x v="13"/>
    <x v="1"/>
    <n v="1367"/>
    <n v="1283"/>
    <n v="-84"/>
    <n v="-6.1448427212874905E-2"/>
    <x v="0"/>
  </r>
  <r>
    <x v="2"/>
    <x v="0"/>
    <x v="1"/>
    <x v="13"/>
    <x v="1"/>
    <n v="1533"/>
    <n v="1588"/>
    <n v="55"/>
    <n v="3.587736464448793E-2"/>
    <x v="1"/>
  </r>
  <r>
    <x v="3"/>
    <x v="1"/>
    <x v="1"/>
    <x v="13"/>
    <x v="1"/>
    <n v="1583"/>
    <n v="1468"/>
    <n v="-115"/>
    <n v="-7.2646873025900185E-2"/>
    <x v="0"/>
  </r>
  <r>
    <x v="4"/>
    <x v="1"/>
    <x v="1"/>
    <x v="13"/>
    <x v="1"/>
    <n v="1667"/>
    <n v="1789"/>
    <n v="122"/>
    <n v="7.3185362927414524E-2"/>
    <x v="1"/>
  </r>
  <r>
    <x v="5"/>
    <x v="1"/>
    <x v="1"/>
    <x v="13"/>
    <x v="1"/>
    <n v="1700"/>
    <n v="1806"/>
    <n v="106"/>
    <n v="6.235294117647059E-2"/>
    <x v="1"/>
  </r>
  <r>
    <x v="6"/>
    <x v="2"/>
    <x v="1"/>
    <x v="13"/>
    <x v="1"/>
    <n v="1467"/>
    <n v="1206"/>
    <n v="-261"/>
    <n v="-0.17791411042944785"/>
    <x v="0"/>
  </r>
  <r>
    <x v="7"/>
    <x v="2"/>
    <x v="1"/>
    <x v="13"/>
    <x v="1"/>
    <n v="1417"/>
    <n v="1409"/>
    <n v="-8"/>
    <n v="-5.6457304163726185E-3"/>
    <x v="0"/>
  </r>
  <r>
    <x v="8"/>
    <x v="2"/>
    <x v="1"/>
    <x v="13"/>
    <x v="1"/>
    <n v="1667"/>
    <n v="1772"/>
    <n v="105"/>
    <n v="6.2987402519496097E-2"/>
    <x v="1"/>
  </r>
  <r>
    <x v="9"/>
    <x v="3"/>
    <x v="1"/>
    <x v="13"/>
    <x v="1"/>
    <n v="1750"/>
    <n v="1629"/>
    <n v="-121"/>
    <n v="-6.9142857142857145E-2"/>
    <x v="0"/>
  </r>
  <r>
    <x v="10"/>
    <x v="3"/>
    <x v="1"/>
    <x v="13"/>
    <x v="1"/>
    <n v="1800"/>
    <n v="2019"/>
    <n v="219"/>
    <n v="0.12166666666666667"/>
    <x v="1"/>
  </r>
  <r>
    <x v="11"/>
    <x v="3"/>
    <x v="1"/>
    <x v="13"/>
    <x v="1"/>
    <n v="2633"/>
    <n v="2753"/>
    <n v="120"/>
    <n v="4.5575389289783517E-2"/>
    <x v="1"/>
  </r>
  <r>
    <x v="0"/>
    <x v="0"/>
    <x v="1"/>
    <x v="6"/>
    <x v="2"/>
    <n v="155833"/>
    <n v="159364"/>
    <n v="3531"/>
    <n v="2.2658871997587159E-2"/>
    <x v="1"/>
  </r>
  <r>
    <x v="1"/>
    <x v="0"/>
    <x v="1"/>
    <x v="6"/>
    <x v="2"/>
    <n v="150333"/>
    <n v="151378"/>
    <n v="1045"/>
    <n v="6.9512349251328719E-3"/>
    <x v="1"/>
  </r>
  <r>
    <x v="2"/>
    <x v="0"/>
    <x v="1"/>
    <x v="6"/>
    <x v="2"/>
    <n v="168667"/>
    <n v="168498"/>
    <n v="-169"/>
    <n v="-1.001974304398608E-3"/>
    <x v="0"/>
  </r>
  <r>
    <x v="3"/>
    <x v="1"/>
    <x v="1"/>
    <x v="6"/>
    <x v="2"/>
    <n v="174167"/>
    <n v="174152"/>
    <n v="-15"/>
    <n v="-8.6124237082799848E-5"/>
    <x v="0"/>
  </r>
  <r>
    <x v="4"/>
    <x v="1"/>
    <x v="1"/>
    <x v="6"/>
    <x v="2"/>
    <n v="183333"/>
    <n v="182522"/>
    <n v="-811"/>
    <n v="-4.4236444066261937E-3"/>
    <x v="0"/>
  </r>
  <r>
    <x v="5"/>
    <x v="1"/>
    <x v="1"/>
    <x v="6"/>
    <x v="2"/>
    <n v="187000"/>
    <n v="186082"/>
    <n v="-918"/>
    <n v="-4.909090909090909E-3"/>
    <x v="0"/>
  </r>
  <r>
    <x v="6"/>
    <x v="2"/>
    <x v="1"/>
    <x v="6"/>
    <x v="2"/>
    <n v="161333"/>
    <n v="161434"/>
    <n v="101"/>
    <n v="6.2603435131064315E-4"/>
    <x v="1"/>
  </r>
  <r>
    <x v="7"/>
    <x v="2"/>
    <x v="1"/>
    <x v="6"/>
    <x v="2"/>
    <n v="155833"/>
    <n v="156149"/>
    <n v="316"/>
    <n v="2.0278118241964156E-3"/>
    <x v="1"/>
  </r>
  <r>
    <x v="8"/>
    <x v="2"/>
    <x v="1"/>
    <x v="6"/>
    <x v="2"/>
    <n v="183333"/>
    <n v="187004"/>
    <n v="3671"/>
    <n v="2.0023672770314128E-2"/>
    <x v="1"/>
  </r>
  <r>
    <x v="9"/>
    <x v="3"/>
    <x v="1"/>
    <x v="6"/>
    <x v="2"/>
    <n v="192500"/>
    <n v="195855"/>
    <n v="3355"/>
    <n v="1.7428571428571429E-2"/>
    <x v="1"/>
  </r>
  <r>
    <x v="10"/>
    <x v="3"/>
    <x v="1"/>
    <x v="6"/>
    <x v="2"/>
    <n v="198000"/>
    <n v="198579"/>
    <n v="579"/>
    <n v="2.9242424242424243E-3"/>
    <x v="1"/>
  </r>
  <r>
    <x v="11"/>
    <x v="3"/>
    <x v="1"/>
    <x v="6"/>
    <x v="2"/>
    <n v="289667"/>
    <n v="287148"/>
    <n v="-2519"/>
    <n v="-8.6961925245195339E-3"/>
    <x v="0"/>
  </r>
  <r>
    <x v="0"/>
    <x v="0"/>
    <x v="1"/>
    <x v="14"/>
    <x v="2"/>
    <n v="34000"/>
    <n v="31458"/>
    <n v="-2542"/>
    <n v="-7.4764705882352941E-2"/>
    <x v="0"/>
  </r>
  <r>
    <x v="1"/>
    <x v="0"/>
    <x v="1"/>
    <x v="14"/>
    <x v="2"/>
    <n v="32800"/>
    <n v="31904"/>
    <n v="-896"/>
    <n v="-2.7317073170731707E-2"/>
    <x v="0"/>
  </r>
  <r>
    <x v="2"/>
    <x v="0"/>
    <x v="1"/>
    <x v="14"/>
    <x v="2"/>
    <n v="36800"/>
    <n v="37669"/>
    <n v="869"/>
    <n v="2.361413043478261E-2"/>
    <x v="1"/>
  </r>
  <r>
    <x v="3"/>
    <x v="1"/>
    <x v="1"/>
    <x v="14"/>
    <x v="2"/>
    <n v="38000"/>
    <n v="39317"/>
    <n v="1317"/>
    <n v="3.4657894736842103E-2"/>
    <x v="1"/>
  </r>
  <r>
    <x v="4"/>
    <x v="1"/>
    <x v="1"/>
    <x v="14"/>
    <x v="2"/>
    <n v="40000"/>
    <n v="42581"/>
    <n v="2581"/>
    <n v="6.4524999999999999E-2"/>
    <x v="1"/>
  </r>
  <r>
    <x v="5"/>
    <x v="1"/>
    <x v="1"/>
    <x v="14"/>
    <x v="2"/>
    <n v="40800"/>
    <n v="40276"/>
    <n v="-524"/>
    <n v="-1.2843137254901962E-2"/>
    <x v="0"/>
  </r>
  <r>
    <x v="6"/>
    <x v="2"/>
    <x v="1"/>
    <x v="14"/>
    <x v="2"/>
    <n v="35200"/>
    <n v="32380"/>
    <n v="-2820"/>
    <n v="-8.0113636363636359E-2"/>
    <x v="0"/>
  </r>
  <r>
    <x v="7"/>
    <x v="2"/>
    <x v="1"/>
    <x v="14"/>
    <x v="2"/>
    <n v="34000"/>
    <n v="33260"/>
    <n v="-740"/>
    <n v="-2.1764705882352939E-2"/>
    <x v="0"/>
  </r>
  <r>
    <x v="8"/>
    <x v="2"/>
    <x v="1"/>
    <x v="14"/>
    <x v="2"/>
    <n v="40000"/>
    <n v="42480"/>
    <n v="2480"/>
    <n v="6.2E-2"/>
    <x v="1"/>
  </r>
  <r>
    <x v="9"/>
    <x v="3"/>
    <x v="1"/>
    <x v="14"/>
    <x v="2"/>
    <n v="42000"/>
    <n v="42978"/>
    <n v="978"/>
    <n v="2.3285714285714285E-2"/>
    <x v="1"/>
  </r>
  <r>
    <x v="10"/>
    <x v="3"/>
    <x v="1"/>
    <x v="14"/>
    <x v="2"/>
    <n v="43200"/>
    <n v="38973"/>
    <n v="-4227"/>
    <n v="-9.7847222222222224E-2"/>
    <x v="0"/>
  </r>
  <r>
    <x v="11"/>
    <x v="3"/>
    <x v="1"/>
    <x v="14"/>
    <x v="2"/>
    <n v="63200"/>
    <n v="63089"/>
    <n v="-111"/>
    <n v="-1.7563291139240506E-3"/>
    <x v="0"/>
  </r>
  <r>
    <x v="0"/>
    <x v="0"/>
    <x v="1"/>
    <x v="15"/>
    <x v="2"/>
    <n v="6800"/>
    <n v="7275"/>
    <n v="475"/>
    <n v="6.985294117647059E-2"/>
    <x v="1"/>
  </r>
  <r>
    <x v="1"/>
    <x v="0"/>
    <x v="1"/>
    <x v="15"/>
    <x v="2"/>
    <n v="6560"/>
    <n v="7258"/>
    <n v="698"/>
    <n v="0.10640243902439024"/>
    <x v="1"/>
  </r>
  <r>
    <x v="2"/>
    <x v="0"/>
    <x v="1"/>
    <x v="15"/>
    <x v="2"/>
    <n v="7360"/>
    <n v="7567"/>
    <n v="207"/>
    <n v="2.8125000000000001E-2"/>
    <x v="1"/>
  </r>
  <r>
    <x v="3"/>
    <x v="1"/>
    <x v="1"/>
    <x v="15"/>
    <x v="2"/>
    <n v="7600"/>
    <n v="7718"/>
    <n v="118"/>
    <n v="1.5526315789473685E-2"/>
    <x v="1"/>
  </r>
  <r>
    <x v="4"/>
    <x v="1"/>
    <x v="1"/>
    <x v="15"/>
    <x v="2"/>
    <n v="8000"/>
    <n v="7504"/>
    <n v="-496"/>
    <n v="-6.2E-2"/>
    <x v="0"/>
  </r>
  <r>
    <x v="5"/>
    <x v="1"/>
    <x v="1"/>
    <x v="15"/>
    <x v="2"/>
    <n v="8160"/>
    <n v="7816"/>
    <n v="-344"/>
    <n v="-4.2156862745098042E-2"/>
    <x v="0"/>
  </r>
  <r>
    <x v="6"/>
    <x v="2"/>
    <x v="1"/>
    <x v="15"/>
    <x v="2"/>
    <n v="7040"/>
    <n v="7057"/>
    <n v="17"/>
    <n v="2.4147727272727272E-3"/>
    <x v="1"/>
  </r>
  <r>
    <x v="7"/>
    <x v="2"/>
    <x v="1"/>
    <x v="15"/>
    <x v="2"/>
    <n v="6800"/>
    <n v="6971"/>
    <n v="171"/>
    <n v="2.5147058823529411E-2"/>
    <x v="1"/>
  </r>
  <r>
    <x v="8"/>
    <x v="2"/>
    <x v="1"/>
    <x v="15"/>
    <x v="2"/>
    <n v="8000"/>
    <n v="8232"/>
    <n v="232"/>
    <n v="2.9000000000000001E-2"/>
    <x v="1"/>
  </r>
  <r>
    <x v="9"/>
    <x v="3"/>
    <x v="1"/>
    <x v="15"/>
    <x v="2"/>
    <n v="8400"/>
    <n v="8199"/>
    <n v="-201"/>
    <n v="-2.3928571428571428E-2"/>
    <x v="0"/>
  </r>
  <r>
    <x v="10"/>
    <x v="3"/>
    <x v="1"/>
    <x v="15"/>
    <x v="2"/>
    <n v="8640"/>
    <n v="8142"/>
    <n v="-498"/>
    <n v="-5.7638888888888892E-2"/>
    <x v="0"/>
  </r>
  <r>
    <x v="11"/>
    <x v="3"/>
    <x v="1"/>
    <x v="15"/>
    <x v="2"/>
    <n v="12640"/>
    <n v="12148"/>
    <n v="-492"/>
    <n v="-3.8924050632911392E-2"/>
    <x v="0"/>
  </r>
  <r>
    <x v="0"/>
    <x v="0"/>
    <x v="1"/>
    <x v="16"/>
    <x v="2"/>
    <n v="12750"/>
    <n v="12012"/>
    <n v="-738"/>
    <n v="-5.7882352941176468E-2"/>
    <x v="0"/>
  </r>
  <r>
    <x v="1"/>
    <x v="0"/>
    <x v="1"/>
    <x v="16"/>
    <x v="2"/>
    <n v="12300"/>
    <n v="12696"/>
    <n v="396"/>
    <n v="3.2195121951219513E-2"/>
    <x v="1"/>
  </r>
  <r>
    <x v="2"/>
    <x v="0"/>
    <x v="1"/>
    <x v="16"/>
    <x v="2"/>
    <n v="13800"/>
    <n v="12205"/>
    <n v="-1595"/>
    <n v="-0.11557971014492753"/>
    <x v="0"/>
  </r>
  <r>
    <x v="3"/>
    <x v="1"/>
    <x v="1"/>
    <x v="16"/>
    <x v="2"/>
    <n v="14250"/>
    <n v="14013"/>
    <n v="-237"/>
    <n v="-1.6631578947368421E-2"/>
    <x v="0"/>
  </r>
  <r>
    <x v="4"/>
    <x v="1"/>
    <x v="1"/>
    <x v="16"/>
    <x v="2"/>
    <n v="15000"/>
    <n v="15337"/>
    <n v="337"/>
    <n v="2.2466666666666666E-2"/>
    <x v="1"/>
  </r>
  <r>
    <x v="5"/>
    <x v="1"/>
    <x v="1"/>
    <x v="16"/>
    <x v="2"/>
    <n v="15300"/>
    <n v="16464"/>
    <n v="1164"/>
    <n v="7.6078431372549021E-2"/>
    <x v="1"/>
  </r>
  <r>
    <x v="6"/>
    <x v="2"/>
    <x v="1"/>
    <x v="16"/>
    <x v="2"/>
    <n v="13200"/>
    <n v="13247"/>
    <n v="47"/>
    <n v="3.5606060606060605E-3"/>
    <x v="1"/>
  </r>
  <r>
    <x v="7"/>
    <x v="2"/>
    <x v="1"/>
    <x v="16"/>
    <x v="2"/>
    <n v="12750"/>
    <n v="13388"/>
    <n v="638"/>
    <n v="5.0039215686274507E-2"/>
    <x v="1"/>
  </r>
  <r>
    <x v="8"/>
    <x v="2"/>
    <x v="1"/>
    <x v="16"/>
    <x v="2"/>
    <n v="15000"/>
    <n v="14701"/>
    <n v="-299"/>
    <n v="-1.9933333333333334E-2"/>
    <x v="0"/>
  </r>
  <r>
    <x v="9"/>
    <x v="3"/>
    <x v="1"/>
    <x v="16"/>
    <x v="2"/>
    <n v="15750"/>
    <n v="15164"/>
    <n v="-586"/>
    <n v="-3.7206349206349208E-2"/>
    <x v="0"/>
  </r>
  <r>
    <x v="10"/>
    <x v="3"/>
    <x v="1"/>
    <x v="16"/>
    <x v="2"/>
    <n v="16200"/>
    <n v="15654"/>
    <n v="-546"/>
    <n v="-3.3703703703703701E-2"/>
    <x v="0"/>
  </r>
  <r>
    <x v="11"/>
    <x v="3"/>
    <x v="1"/>
    <x v="16"/>
    <x v="2"/>
    <n v="23700"/>
    <n v="25510"/>
    <n v="1810"/>
    <n v="7.6371308016877637E-2"/>
    <x v="1"/>
  </r>
  <r>
    <x v="0"/>
    <x v="0"/>
    <x v="1"/>
    <x v="17"/>
    <x v="2"/>
    <n v="5100"/>
    <n v="5354"/>
    <n v="254"/>
    <n v="4.9803921568627452E-2"/>
    <x v="1"/>
  </r>
  <r>
    <x v="1"/>
    <x v="0"/>
    <x v="1"/>
    <x v="17"/>
    <x v="2"/>
    <n v="4920"/>
    <n v="5040"/>
    <n v="120"/>
    <n v="2.4390243902439025E-2"/>
    <x v="1"/>
  </r>
  <r>
    <x v="2"/>
    <x v="0"/>
    <x v="1"/>
    <x v="17"/>
    <x v="2"/>
    <n v="5520"/>
    <n v="6439"/>
    <n v="919"/>
    <n v="0.16648550724637681"/>
    <x v="1"/>
  </r>
  <r>
    <x v="3"/>
    <x v="1"/>
    <x v="1"/>
    <x v="17"/>
    <x v="2"/>
    <n v="5700"/>
    <n v="5691"/>
    <n v="-9"/>
    <n v="-1.5789473684210526E-3"/>
    <x v="0"/>
  </r>
  <r>
    <x v="4"/>
    <x v="1"/>
    <x v="1"/>
    <x v="17"/>
    <x v="2"/>
    <n v="6000"/>
    <n v="6186"/>
    <n v="186"/>
    <n v="3.1E-2"/>
    <x v="1"/>
  </r>
  <r>
    <x v="5"/>
    <x v="1"/>
    <x v="1"/>
    <x v="17"/>
    <x v="2"/>
    <n v="6120"/>
    <n v="6214"/>
    <n v="94"/>
    <n v="1.5359477124183006E-2"/>
    <x v="1"/>
  </r>
  <r>
    <x v="6"/>
    <x v="2"/>
    <x v="1"/>
    <x v="17"/>
    <x v="2"/>
    <n v="5280"/>
    <n v="5221"/>
    <n v="-59"/>
    <n v="-1.1174242424242425E-2"/>
    <x v="0"/>
  </r>
  <r>
    <x v="7"/>
    <x v="2"/>
    <x v="1"/>
    <x v="17"/>
    <x v="2"/>
    <n v="5100"/>
    <n v="5691"/>
    <n v="591"/>
    <n v="0.11588235294117646"/>
    <x v="1"/>
  </r>
  <r>
    <x v="8"/>
    <x v="2"/>
    <x v="1"/>
    <x v="17"/>
    <x v="2"/>
    <n v="6000"/>
    <n v="6452"/>
    <n v="452"/>
    <n v="7.5333333333333335E-2"/>
    <x v="1"/>
  </r>
  <r>
    <x v="9"/>
    <x v="3"/>
    <x v="1"/>
    <x v="17"/>
    <x v="2"/>
    <n v="6300"/>
    <n v="5859"/>
    <n v="-441"/>
    <n v="-7.0000000000000007E-2"/>
    <x v="0"/>
  </r>
  <r>
    <x v="10"/>
    <x v="3"/>
    <x v="1"/>
    <x v="17"/>
    <x v="2"/>
    <n v="6480"/>
    <n v="6350"/>
    <n v="-130"/>
    <n v="-2.0061728395061727E-2"/>
    <x v="0"/>
  </r>
  <r>
    <x v="11"/>
    <x v="3"/>
    <x v="1"/>
    <x v="17"/>
    <x v="2"/>
    <n v="9480"/>
    <n v="9683"/>
    <n v="203"/>
    <n v="2.1413502109704642E-2"/>
    <x v="1"/>
  </r>
  <r>
    <x v="0"/>
    <x v="0"/>
    <x v="1"/>
    <x v="18"/>
    <x v="2"/>
    <n v="17000"/>
    <n v="17666"/>
    <n v="666"/>
    <n v="3.9176470588235292E-2"/>
    <x v="1"/>
  </r>
  <r>
    <x v="1"/>
    <x v="0"/>
    <x v="1"/>
    <x v="18"/>
    <x v="2"/>
    <n v="16400"/>
    <n v="15294"/>
    <n v="-1106"/>
    <n v="-6.7439024390243907E-2"/>
    <x v="0"/>
  </r>
  <r>
    <x v="2"/>
    <x v="0"/>
    <x v="1"/>
    <x v="18"/>
    <x v="2"/>
    <n v="18400"/>
    <n v="16325"/>
    <n v="-2075"/>
    <n v="-0.11277173913043478"/>
    <x v="0"/>
  </r>
  <r>
    <x v="3"/>
    <x v="1"/>
    <x v="1"/>
    <x v="18"/>
    <x v="2"/>
    <n v="19000"/>
    <n v="17189"/>
    <n v="-1811"/>
    <n v="-9.5315789473684215E-2"/>
    <x v="0"/>
  </r>
  <r>
    <x v="4"/>
    <x v="1"/>
    <x v="1"/>
    <x v="18"/>
    <x v="2"/>
    <n v="20000"/>
    <n v="19929"/>
    <n v="-71"/>
    <n v="-3.5500000000000002E-3"/>
    <x v="0"/>
  </r>
  <r>
    <x v="5"/>
    <x v="1"/>
    <x v="1"/>
    <x v="18"/>
    <x v="2"/>
    <n v="20400"/>
    <n v="20295"/>
    <n v="-105"/>
    <n v="-5.1470588235294117E-3"/>
    <x v="0"/>
  </r>
  <r>
    <x v="6"/>
    <x v="2"/>
    <x v="1"/>
    <x v="18"/>
    <x v="2"/>
    <n v="17600"/>
    <n v="17904"/>
    <n v="304"/>
    <n v="1.7272727272727273E-2"/>
    <x v="1"/>
  </r>
  <r>
    <x v="7"/>
    <x v="2"/>
    <x v="1"/>
    <x v="18"/>
    <x v="2"/>
    <n v="17000"/>
    <n v="16346"/>
    <n v="-654"/>
    <n v="-3.8470588235294118E-2"/>
    <x v="0"/>
  </r>
  <r>
    <x v="8"/>
    <x v="2"/>
    <x v="1"/>
    <x v="18"/>
    <x v="2"/>
    <n v="20000"/>
    <n v="18776"/>
    <n v="-1224"/>
    <n v="-6.1199999999999997E-2"/>
    <x v="0"/>
  </r>
  <r>
    <x v="9"/>
    <x v="3"/>
    <x v="1"/>
    <x v="18"/>
    <x v="2"/>
    <n v="21000"/>
    <n v="18876"/>
    <n v="-2124"/>
    <n v="-0.10114285714285715"/>
    <x v="0"/>
  </r>
  <r>
    <x v="10"/>
    <x v="3"/>
    <x v="1"/>
    <x v="18"/>
    <x v="2"/>
    <n v="21600"/>
    <n v="21956"/>
    <n v="356"/>
    <n v="1.6481481481481482E-2"/>
    <x v="1"/>
  </r>
  <r>
    <x v="11"/>
    <x v="3"/>
    <x v="1"/>
    <x v="18"/>
    <x v="2"/>
    <n v="31600"/>
    <n v="32185"/>
    <n v="585"/>
    <n v="1.8512658227848103E-2"/>
    <x v="1"/>
  </r>
  <r>
    <x v="0"/>
    <x v="0"/>
    <x v="1"/>
    <x v="19"/>
    <x v="2"/>
    <n v="10625"/>
    <n v="11153"/>
    <n v="528"/>
    <n v="4.9694117647058826E-2"/>
    <x v="1"/>
  </r>
  <r>
    <x v="1"/>
    <x v="0"/>
    <x v="1"/>
    <x v="19"/>
    <x v="2"/>
    <n v="10250"/>
    <n v="10655"/>
    <n v="405"/>
    <n v="3.951219512195122E-2"/>
    <x v="1"/>
  </r>
  <r>
    <x v="2"/>
    <x v="0"/>
    <x v="1"/>
    <x v="19"/>
    <x v="2"/>
    <n v="11500"/>
    <n v="11390"/>
    <n v="-110"/>
    <n v="-9.5652173913043474E-3"/>
    <x v="0"/>
  </r>
  <r>
    <x v="3"/>
    <x v="1"/>
    <x v="1"/>
    <x v="19"/>
    <x v="2"/>
    <n v="11875"/>
    <n v="12676"/>
    <n v="801"/>
    <n v="6.7452631578947375E-2"/>
    <x v="1"/>
  </r>
  <r>
    <x v="4"/>
    <x v="1"/>
    <x v="1"/>
    <x v="19"/>
    <x v="2"/>
    <n v="12500"/>
    <n v="12415"/>
    <n v="-85"/>
    <n v="-6.7999999999999996E-3"/>
    <x v="0"/>
  </r>
  <r>
    <x v="5"/>
    <x v="1"/>
    <x v="1"/>
    <x v="19"/>
    <x v="2"/>
    <n v="12750"/>
    <n v="12329"/>
    <n v="-421"/>
    <n v="-3.3019607843137254E-2"/>
    <x v="0"/>
  </r>
  <r>
    <x v="6"/>
    <x v="2"/>
    <x v="1"/>
    <x v="19"/>
    <x v="2"/>
    <n v="11000"/>
    <n v="10714"/>
    <n v="-286"/>
    <n v="-2.5999999999999999E-2"/>
    <x v="0"/>
  </r>
  <r>
    <x v="7"/>
    <x v="2"/>
    <x v="1"/>
    <x v="19"/>
    <x v="2"/>
    <n v="10625"/>
    <n v="10314"/>
    <n v="-311"/>
    <n v="-2.9270588235294118E-2"/>
    <x v="0"/>
  </r>
  <r>
    <x v="8"/>
    <x v="2"/>
    <x v="1"/>
    <x v="19"/>
    <x v="2"/>
    <n v="12500"/>
    <n v="11146"/>
    <n v="-1354"/>
    <n v="-0.10832"/>
    <x v="0"/>
  </r>
  <r>
    <x v="9"/>
    <x v="3"/>
    <x v="1"/>
    <x v="19"/>
    <x v="2"/>
    <n v="13125"/>
    <n v="13228"/>
    <n v="103"/>
    <n v="7.8476190476190477E-3"/>
    <x v="1"/>
  </r>
  <r>
    <x v="10"/>
    <x v="3"/>
    <x v="1"/>
    <x v="19"/>
    <x v="2"/>
    <n v="13500"/>
    <n v="13669"/>
    <n v="169"/>
    <n v="1.2518518518518519E-2"/>
    <x v="1"/>
  </r>
  <r>
    <x v="11"/>
    <x v="3"/>
    <x v="1"/>
    <x v="19"/>
    <x v="2"/>
    <n v="19750"/>
    <n v="19392"/>
    <n v="-358"/>
    <n v="-1.8126582278481011E-2"/>
    <x v="0"/>
  </r>
  <r>
    <x v="0"/>
    <x v="0"/>
    <x v="1"/>
    <x v="13"/>
    <x v="2"/>
    <n v="2479"/>
    <n v="2590"/>
    <n v="111"/>
    <n v="4.4776119402985072E-2"/>
    <x v="1"/>
  </r>
  <r>
    <x v="1"/>
    <x v="0"/>
    <x v="1"/>
    <x v="13"/>
    <x v="2"/>
    <n v="2392"/>
    <n v="2403"/>
    <n v="11"/>
    <n v="4.5986622073578599E-3"/>
    <x v="1"/>
  </r>
  <r>
    <x v="2"/>
    <x v="0"/>
    <x v="1"/>
    <x v="13"/>
    <x v="2"/>
    <n v="2683"/>
    <n v="2493"/>
    <n v="-190"/>
    <n v="-7.0816250465896388E-2"/>
    <x v="0"/>
  </r>
  <r>
    <x v="3"/>
    <x v="1"/>
    <x v="1"/>
    <x v="13"/>
    <x v="2"/>
    <n v="2771"/>
    <n v="2350"/>
    <n v="-421"/>
    <n v="-0.15193071093468061"/>
    <x v="0"/>
  </r>
  <r>
    <x v="4"/>
    <x v="1"/>
    <x v="1"/>
    <x v="13"/>
    <x v="2"/>
    <n v="2917"/>
    <n v="2938"/>
    <n v="21"/>
    <n v="7.1991772368872132E-3"/>
    <x v="1"/>
  </r>
  <r>
    <x v="5"/>
    <x v="1"/>
    <x v="1"/>
    <x v="13"/>
    <x v="2"/>
    <n v="2975"/>
    <n v="3312"/>
    <n v="337"/>
    <n v="0.11327731092436975"/>
    <x v="1"/>
  </r>
  <r>
    <x v="6"/>
    <x v="2"/>
    <x v="1"/>
    <x v="13"/>
    <x v="2"/>
    <n v="2567"/>
    <n v="2347"/>
    <n v="-220"/>
    <n v="-8.5703155434359177E-2"/>
    <x v="0"/>
  </r>
  <r>
    <x v="7"/>
    <x v="2"/>
    <x v="1"/>
    <x v="13"/>
    <x v="2"/>
    <n v="2479"/>
    <n v="2140"/>
    <n v="-339"/>
    <n v="-0.13674868898749495"/>
    <x v="0"/>
  </r>
  <r>
    <x v="8"/>
    <x v="2"/>
    <x v="1"/>
    <x v="13"/>
    <x v="2"/>
    <n v="2917"/>
    <n v="3064"/>
    <n v="147"/>
    <n v="5.0394240658210493E-2"/>
    <x v="1"/>
  </r>
  <r>
    <x v="9"/>
    <x v="3"/>
    <x v="1"/>
    <x v="13"/>
    <x v="2"/>
    <n v="3062"/>
    <n v="3797"/>
    <n v="735"/>
    <n v="0.24003919007184846"/>
    <x v="1"/>
  </r>
  <r>
    <x v="10"/>
    <x v="3"/>
    <x v="1"/>
    <x v="13"/>
    <x v="2"/>
    <n v="3150"/>
    <n v="2431"/>
    <n v="-719"/>
    <n v="-0.22825396825396826"/>
    <x v="0"/>
  </r>
  <r>
    <x v="11"/>
    <x v="3"/>
    <x v="1"/>
    <x v="13"/>
    <x v="2"/>
    <n v="4608"/>
    <n v="4383"/>
    <n v="-225"/>
    <n v="-4.8828125E-2"/>
    <x v="0"/>
  </r>
  <r>
    <x v="0"/>
    <x v="0"/>
    <x v="1"/>
    <x v="6"/>
    <x v="3"/>
    <n v="63750"/>
    <n v="64047"/>
    <n v="297"/>
    <n v="4.6588235294117647E-3"/>
    <x v="1"/>
  </r>
  <r>
    <x v="1"/>
    <x v="0"/>
    <x v="1"/>
    <x v="6"/>
    <x v="3"/>
    <n v="61500"/>
    <n v="60246"/>
    <n v="-1254"/>
    <n v="-2.0390243902439025E-2"/>
    <x v="0"/>
  </r>
  <r>
    <x v="2"/>
    <x v="0"/>
    <x v="1"/>
    <x v="6"/>
    <x v="3"/>
    <n v="69000"/>
    <n v="69533"/>
    <n v="533"/>
    <n v="7.72463768115942E-3"/>
    <x v="1"/>
  </r>
  <r>
    <x v="3"/>
    <x v="1"/>
    <x v="1"/>
    <x v="6"/>
    <x v="3"/>
    <n v="71250"/>
    <n v="72606"/>
    <n v="1356"/>
    <n v="1.903157894736842E-2"/>
    <x v="1"/>
  </r>
  <r>
    <x v="4"/>
    <x v="1"/>
    <x v="1"/>
    <x v="6"/>
    <x v="3"/>
    <n v="75000"/>
    <n v="73458"/>
    <n v="-1542"/>
    <n v="-2.0559999999999998E-2"/>
    <x v="0"/>
  </r>
  <r>
    <x v="5"/>
    <x v="1"/>
    <x v="1"/>
    <x v="6"/>
    <x v="3"/>
    <n v="76500"/>
    <n v="75034"/>
    <n v="-1466"/>
    <n v="-1.9163398692810456E-2"/>
    <x v="0"/>
  </r>
  <r>
    <x v="6"/>
    <x v="2"/>
    <x v="1"/>
    <x v="6"/>
    <x v="3"/>
    <n v="66000"/>
    <n v="66167"/>
    <n v="167"/>
    <n v="2.5303030303030303E-3"/>
    <x v="1"/>
  </r>
  <r>
    <x v="7"/>
    <x v="2"/>
    <x v="1"/>
    <x v="6"/>
    <x v="3"/>
    <n v="63750"/>
    <n v="65031"/>
    <n v="1281"/>
    <n v="2.0094117647058825E-2"/>
    <x v="1"/>
  </r>
  <r>
    <x v="8"/>
    <x v="2"/>
    <x v="1"/>
    <x v="6"/>
    <x v="3"/>
    <n v="75000"/>
    <n v="73582"/>
    <n v="-1418"/>
    <n v="-1.8906666666666665E-2"/>
    <x v="0"/>
  </r>
  <r>
    <x v="9"/>
    <x v="3"/>
    <x v="1"/>
    <x v="6"/>
    <x v="3"/>
    <n v="78750"/>
    <n v="78174"/>
    <n v="-576"/>
    <n v="-7.3142857142857141E-3"/>
    <x v="0"/>
  </r>
  <r>
    <x v="10"/>
    <x v="3"/>
    <x v="1"/>
    <x v="6"/>
    <x v="3"/>
    <n v="81000"/>
    <n v="80623"/>
    <n v="-377"/>
    <n v="-4.6543209876543212E-3"/>
    <x v="0"/>
  </r>
  <r>
    <x v="11"/>
    <x v="3"/>
    <x v="1"/>
    <x v="6"/>
    <x v="3"/>
    <n v="118500"/>
    <n v="116813"/>
    <n v="-1687"/>
    <n v="-1.4236286919831224E-2"/>
    <x v="0"/>
  </r>
  <r>
    <x v="0"/>
    <x v="0"/>
    <x v="1"/>
    <x v="20"/>
    <x v="3"/>
    <n v="8500"/>
    <n v="8635"/>
    <n v="135"/>
    <n v="1.5882352941176469E-2"/>
    <x v="1"/>
  </r>
  <r>
    <x v="1"/>
    <x v="0"/>
    <x v="1"/>
    <x v="20"/>
    <x v="3"/>
    <n v="8200"/>
    <n v="8944"/>
    <n v="744"/>
    <n v="9.0731707317073168E-2"/>
    <x v="1"/>
  </r>
  <r>
    <x v="2"/>
    <x v="0"/>
    <x v="1"/>
    <x v="20"/>
    <x v="3"/>
    <n v="9200"/>
    <n v="8820"/>
    <n v="-380"/>
    <n v="-4.1304347826086954E-2"/>
    <x v="0"/>
  </r>
  <r>
    <x v="3"/>
    <x v="1"/>
    <x v="1"/>
    <x v="20"/>
    <x v="3"/>
    <n v="9500"/>
    <n v="9600"/>
    <n v="100"/>
    <n v="1.0526315789473684E-2"/>
    <x v="1"/>
  </r>
  <r>
    <x v="4"/>
    <x v="1"/>
    <x v="1"/>
    <x v="20"/>
    <x v="3"/>
    <n v="10000"/>
    <n v="10101"/>
    <n v="101"/>
    <n v="1.01E-2"/>
    <x v="1"/>
  </r>
  <r>
    <x v="5"/>
    <x v="1"/>
    <x v="1"/>
    <x v="20"/>
    <x v="3"/>
    <n v="10200"/>
    <n v="9848"/>
    <n v="-352"/>
    <n v="-3.4509803921568626E-2"/>
    <x v="0"/>
  </r>
  <r>
    <x v="6"/>
    <x v="2"/>
    <x v="1"/>
    <x v="20"/>
    <x v="3"/>
    <n v="8800"/>
    <n v="9085"/>
    <n v="285"/>
    <n v="3.2386363636363637E-2"/>
    <x v="1"/>
  </r>
  <r>
    <x v="7"/>
    <x v="2"/>
    <x v="1"/>
    <x v="20"/>
    <x v="3"/>
    <n v="8500"/>
    <n v="8541"/>
    <n v="41"/>
    <n v="4.8235294117647057E-3"/>
    <x v="1"/>
  </r>
  <r>
    <x v="8"/>
    <x v="2"/>
    <x v="1"/>
    <x v="20"/>
    <x v="3"/>
    <n v="10000"/>
    <n v="9528"/>
    <n v="-472"/>
    <n v="-4.7199999999999999E-2"/>
    <x v="0"/>
  </r>
  <r>
    <x v="9"/>
    <x v="3"/>
    <x v="1"/>
    <x v="20"/>
    <x v="3"/>
    <n v="10500"/>
    <n v="11425"/>
    <n v="925"/>
    <n v="8.8095238095238101E-2"/>
    <x v="1"/>
  </r>
  <r>
    <x v="10"/>
    <x v="3"/>
    <x v="1"/>
    <x v="20"/>
    <x v="3"/>
    <n v="10800"/>
    <n v="11227"/>
    <n v="427"/>
    <n v="3.9537037037037037E-2"/>
    <x v="1"/>
  </r>
  <r>
    <x v="11"/>
    <x v="3"/>
    <x v="1"/>
    <x v="20"/>
    <x v="3"/>
    <n v="15800"/>
    <n v="15668"/>
    <n v="-132"/>
    <n v="-8.3544303797468359E-3"/>
    <x v="0"/>
  </r>
  <r>
    <x v="0"/>
    <x v="0"/>
    <x v="1"/>
    <x v="21"/>
    <x v="3"/>
    <n v="1700"/>
    <n v="1646"/>
    <n v="-54"/>
    <n v="-3.1764705882352938E-2"/>
    <x v="0"/>
  </r>
  <r>
    <x v="1"/>
    <x v="0"/>
    <x v="1"/>
    <x v="21"/>
    <x v="3"/>
    <n v="1640"/>
    <n v="1576"/>
    <n v="-64"/>
    <n v="-3.9024390243902439E-2"/>
    <x v="0"/>
  </r>
  <r>
    <x v="2"/>
    <x v="0"/>
    <x v="1"/>
    <x v="21"/>
    <x v="3"/>
    <n v="1840"/>
    <n v="1953"/>
    <n v="113"/>
    <n v="6.1413043478260869E-2"/>
    <x v="1"/>
  </r>
  <r>
    <x v="3"/>
    <x v="1"/>
    <x v="1"/>
    <x v="21"/>
    <x v="3"/>
    <n v="1900"/>
    <n v="1886"/>
    <n v="-14"/>
    <n v="-7.3684210526315788E-3"/>
    <x v="0"/>
  </r>
  <r>
    <x v="4"/>
    <x v="1"/>
    <x v="1"/>
    <x v="21"/>
    <x v="3"/>
    <n v="2000"/>
    <n v="2046"/>
    <n v="46"/>
    <n v="2.3E-2"/>
    <x v="1"/>
  </r>
  <r>
    <x v="5"/>
    <x v="1"/>
    <x v="1"/>
    <x v="21"/>
    <x v="3"/>
    <n v="2040"/>
    <n v="2021"/>
    <n v="-19"/>
    <n v="-9.3137254901960783E-3"/>
    <x v="0"/>
  </r>
  <r>
    <x v="6"/>
    <x v="2"/>
    <x v="1"/>
    <x v="21"/>
    <x v="3"/>
    <n v="1760"/>
    <n v="1814"/>
    <n v="54"/>
    <n v="3.0681818181818182E-2"/>
    <x v="1"/>
  </r>
  <r>
    <x v="7"/>
    <x v="2"/>
    <x v="1"/>
    <x v="21"/>
    <x v="3"/>
    <n v="1700"/>
    <n v="1690"/>
    <n v="-10"/>
    <n v="-5.8823529411764705E-3"/>
    <x v="0"/>
  </r>
  <r>
    <x v="8"/>
    <x v="2"/>
    <x v="1"/>
    <x v="21"/>
    <x v="3"/>
    <n v="2000"/>
    <n v="2076"/>
    <n v="76"/>
    <n v="3.7999999999999999E-2"/>
    <x v="1"/>
  </r>
  <r>
    <x v="9"/>
    <x v="3"/>
    <x v="1"/>
    <x v="21"/>
    <x v="3"/>
    <n v="2100"/>
    <n v="2081"/>
    <n v="-19"/>
    <n v="-9.0476190476190474E-3"/>
    <x v="0"/>
  </r>
  <r>
    <x v="10"/>
    <x v="3"/>
    <x v="1"/>
    <x v="21"/>
    <x v="3"/>
    <n v="2160"/>
    <n v="2250"/>
    <n v="90"/>
    <n v="4.1666666666666664E-2"/>
    <x v="1"/>
  </r>
  <r>
    <x v="11"/>
    <x v="3"/>
    <x v="1"/>
    <x v="21"/>
    <x v="3"/>
    <n v="3160"/>
    <n v="3266"/>
    <n v="106"/>
    <n v="3.3544303797468353E-2"/>
    <x v="1"/>
  </r>
  <r>
    <x v="0"/>
    <x v="0"/>
    <x v="1"/>
    <x v="10"/>
    <x v="3"/>
    <n v="4250"/>
    <n v="4225"/>
    <n v="-25"/>
    <n v="-5.8823529411764705E-3"/>
    <x v="0"/>
  </r>
  <r>
    <x v="1"/>
    <x v="0"/>
    <x v="1"/>
    <x v="10"/>
    <x v="3"/>
    <n v="4100"/>
    <n v="3924"/>
    <n v="-176"/>
    <n v="-4.2926829268292686E-2"/>
    <x v="0"/>
  </r>
  <r>
    <x v="2"/>
    <x v="0"/>
    <x v="1"/>
    <x v="10"/>
    <x v="3"/>
    <n v="4600"/>
    <n v="4384"/>
    <n v="-216"/>
    <n v="-4.6956521739130432E-2"/>
    <x v="0"/>
  </r>
  <r>
    <x v="3"/>
    <x v="1"/>
    <x v="1"/>
    <x v="10"/>
    <x v="3"/>
    <n v="4750"/>
    <n v="4574"/>
    <n v="-176"/>
    <n v="-3.7052631578947372E-2"/>
    <x v="0"/>
  </r>
  <r>
    <x v="4"/>
    <x v="1"/>
    <x v="1"/>
    <x v="10"/>
    <x v="3"/>
    <n v="5000"/>
    <n v="4754"/>
    <n v="-246"/>
    <n v="-4.9200000000000001E-2"/>
    <x v="0"/>
  </r>
  <r>
    <x v="5"/>
    <x v="1"/>
    <x v="1"/>
    <x v="10"/>
    <x v="3"/>
    <n v="5100"/>
    <n v="5321"/>
    <n v="221"/>
    <n v="4.3333333333333335E-2"/>
    <x v="1"/>
  </r>
  <r>
    <x v="6"/>
    <x v="2"/>
    <x v="1"/>
    <x v="10"/>
    <x v="3"/>
    <n v="4400"/>
    <n v="4390"/>
    <n v="-10"/>
    <n v="-2.2727272727272726E-3"/>
    <x v="0"/>
  </r>
  <r>
    <x v="7"/>
    <x v="2"/>
    <x v="1"/>
    <x v="10"/>
    <x v="3"/>
    <n v="4250"/>
    <n v="4584"/>
    <n v="334"/>
    <n v="7.8588235294117653E-2"/>
    <x v="1"/>
  </r>
  <r>
    <x v="8"/>
    <x v="2"/>
    <x v="1"/>
    <x v="10"/>
    <x v="3"/>
    <n v="5000"/>
    <n v="5570"/>
    <n v="570"/>
    <n v="0.114"/>
    <x v="1"/>
  </r>
  <r>
    <x v="9"/>
    <x v="3"/>
    <x v="1"/>
    <x v="10"/>
    <x v="3"/>
    <n v="5250"/>
    <n v="5256"/>
    <n v="6"/>
    <n v="1.1428571428571429E-3"/>
    <x v="1"/>
  </r>
  <r>
    <x v="10"/>
    <x v="3"/>
    <x v="1"/>
    <x v="10"/>
    <x v="3"/>
    <n v="5400"/>
    <n v="4982"/>
    <n v="-418"/>
    <n v="-7.7407407407407411E-2"/>
    <x v="0"/>
  </r>
  <r>
    <x v="11"/>
    <x v="3"/>
    <x v="1"/>
    <x v="10"/>
    <x v="3"/>
    <n v="7900"/>
    <n v="7749"/>
    <n v="-151"/>
    <n v="-1.9113924050632912E-2"/>
    <x v="0"/>
  </r>
  <r>
    <x v="0"/>
    <x v="0"/>
    <x v="1"/>
    <x v="12"/>
    <x v="3"/>
    <n v="1275"/>
    <n v="1270"/>
    <n v="-5"/>
    <n v="-3.9215686274509803E-3"/>
    <x v="0"/>
  </r>
  <r>
    <x v="1"/>
    <x v="0"/>
    <x v="1"/>
    <x v="12"/>
    <x v="3"/>
    <n v="1230"/>
    <n v="1138"/>
    <n v="-92"/>
    <n v="-7.4796747967479676E-2"/>
    <x v="0"/>
  </r>
  <r>
    <x v="2"/>
    <x v="0"/>
    <x v="1"/>
    <x v="12"/>
    <x v="3"/>
    <n v="1380"/>
    <n v="1363"/>
    <n v="-17"/>
    <n v="-1.2318840579710146E-2"/>
    <x v="0"/>
  </r>
  <r>
    <x v="3"/>
    <x v="1"/>
    <x v="1"/>
    <x v="12"/>
    <x v="3"/>
    <n v="1425"/>
    <n v="1445"/>
    <n v="20"/>
    <n v="1.4035087719298246E-2"/>
    <x v="1"/>
  </r>
  <r>
    <x v="4"/>
    <x v="1"/>
    <x v="1"/>
    <x v="12"/>
    <x v="3"/>
    <n v="1500"/>
    <n v="1466"/>
    <n v="-34"/>
    <n v="-2.2666666666666668E-2"/>
    <x v="0"/>
  </r>
  <r>
    <x v="5"/>
    <x v="1"/>
    <x v="1"/>
    <x v="12"/>
    <x v="3"/>
    <n v="1530"/>
    <n v="1471"/>
    <n v="-59"/>
    <n v="-3.8562091503267976E-2"/>
    <x v="0"/>
  </r>
  <r>
    <x v="6"/>
    <x v="2"/>
    <x v="1"/>
    <x v="12"/>
    <x v="3"/>
    <n v="1320"/>
    <n v="1270"/>
    <n v="-50"/>
    <n v="-3.787878787878788E-2"/>
    <x v="0"/>
  </r>
  <r>
    <x v="7"/>
    <x v="2"/>
    <x v="1"/>
    <x v="12"/>
    <x v="3"/>
    <n v="1275"/>
    <n v="1389"/>
    <n v="114"/>
    <n v="8.9411764705882357E-2"/>
    <x v="1"/>
  </r>
  <r>
    <x v="8"/>
    <x v="2"/>
    <x v="1"/>
    <x v="12"/>
    <x v="3"/>
    <n v="1500"/>
    <n v="1488"/>
    <n v="-12"/>
    <n v="-8.0000000000000002E-3"/>
    <x v="0"/>
  </r>
  <r>
    <x v="9"/>
    <x v="3"/>
    <x v="1"/>
    <x v="12"/>
    <x v="3"/>
    <n v="1575"/>
    <n v="1510"/>
    <n v="-65"/>
    <n v="-4.1269841269841269E-2"/>
    <x v="0"/>
  </r>
  <r>
    <x v="10"/>
    <x v="3"/>
    <x v="1"/>
    <x v="12"/>
    <x v="3"/>
    <n v="1620"/>
    <n v="1590"/>
    <n v="-30"/>
    <n v="-1.8518518518518517E-2"/>
    <x v="0"/>
  </r>
  <r>
    <x v="11"/>
    <x v="3"/>
    <x v="1"/>
    <x v="12"/>
    <x v="3"/>
    <n v="2370"/>
    <n v="2483"/>
    <n v="113"/>
    <n v="4.767932489451477E-2"/>
    <x v="1"/>
  </r>
  <r>
    <x v="0"/>
    <x v="0"/>
    <x v="1"/>
    <x v="11"/>
    <x v="3"/>
    <n v="1771"/>
    <n v="1710"/>
    <n v="-61"/>
    <n v="-3.4443817052512704E-2"/>
    <x v="0"/>
  </r>
  <r>
    <x v="1"/>
    <x v="0"/>
    <x v="1"/>
    <x v="11"/>
    <x v="3"/>
    <n v="1708"/>
    <n v="1749"/>
    <n v="41"/>
    <n v="2.4004683840749413E-2"/>
    <x v="1"/>
  </r>
  <r>
    <x v="2"/>
    <x v="0"/>
    <x v="1"/>
    <x v="11"/>
    <x v="3"/>
    <n v="1917"/>
    <n v="1987"/>
    <n v="70"/>
    <n v="3.6515388628064686E-2"/>
    <x v="1"/>
  </r>
  <r>
    <x v="3"/>
    <x v="1"/>
    <x v="1"/>
    <x v="11"/>
    <x v="3"/>
    <n v="1979"/>
    <n v="2053"/>
    <n v="74"/>
    <n v="3.7392622536634661E-2"/>
    <x v="1"/>
  </r>
  <r>
    <x v="4"/>
    <x v="1"/>
    <x v="1"/>
    <x v="11"/>
    <x v="3"/>
    <n v="2083"/>
    <n v="2229"/>
    <n v="146"/>
    <n v="7.0091214594335094E-2"/>
    <x v="1"/>
  </r>
  <r>
    <x v="5"/>
    <x v="1"/>
    <x v="1"/>
    <x v="11"/>
    <x v="3"/>
    <n v="2125"/>
    <n v="2067"/>
    <n v="-58"/>
    <n v="-2.7294117647058823E-2"/>
    <x v="0"/>
  </r>
  <r>
    <x v="6"/>
    <x v="2"/>
    <x v="1"/>
    <x v="11"/>
    <x v="3"/>
    <n v="1833"/>
    <n v="1937"/>
    <n v="104"/>
    <n v="5.6737588652482268E-2"/>
    <x v="1"/>
  </r>
  <r>
    <x v="7"/>
    <x v="2"/>
    <x v="1"/>
    <x v="11"/>
    <x v="3"/>
    <n v="1771"/>
    <n v="1701"/>
    <n v="-70"/>
    <n v="-3.9525691699604744E-2"/>
    <x v="0"/>
  </r>
  <r>
    <x v="8"/>
    <x v="2"/>
    <x v="1"/>
    <x v="11"/>
    <x v="3"/>
    <n v="2083"/>
    <n v="2042"/>
    <n v="-41"/>
    <n v="-1.9683149303888623E-2"/>
    <x v="0"/>
  </r>
  <r>
    <x v="9"/>
    <x v="3"/>
    <x v="1"/>
    <x v="11"/>
    <x v="3"/>
    <n v="2188"/>
    <n v="2319"/>
    <n v="131"/>
    <n v="5.9872029250457037E-2"/>
    <x v="1"/>
  </r>
  <r>
    <x v="10"/>
    <x v="3"/>
    <x v="1"/>
    <x v="11"/>
    <x v="3"/>
    <n v="2250"/>
    <n v="2343"/>
    <n v="93"/>
    <n v="4.1333333333333333E-2"/>
    <x v="1"/>
  </r>
  <r>
    <x v="11"/>
    <x v="3"/>
    <x v="1"/>
    <x v="11"/>
    <x v="3"/>
    <n v="3292"/>
    <n v="3292"/>
    <n v="0"/>
    <n v="0"/>
    <x v="1"/>
  </r>
  <r>
    <x v="0"/>
    <x v="0"/>
    <x v="1"/>
    <x v="13"/>
    <x v="3"/>
    <n v="1062"/>
    <n v="1134"/>
    <n v="72"/>
    <n v="6.7796610169491525E-2"/>
    <x v="1"/>
  </r>
  <r>
    <x v="1"/>
    <x v="0"/>
    <x v="1"/>
    <x v="13"/>
    <x v="3"/>
    <n v="1025"/>
    <n v="911"/>
    <n v="-114"/>
    <n v="-0.11121951219512195"/>
    <x v="0"/>
  </r>
  <r>
    <x v="2"/>
    <x v="0"/>
    <x v="1"/>
    <x v="13"/>
    <x v="3"/>
    <n v="1150"/>
    <n v="1184"/>
    <n v="34"/>
    <n v="2.9565217391304348E-2"/>
    <x v="1"/>
  </r>
  <r>
    <x v="3"/>
    <x v="1"/>
    <x v="1"/>
    <x v="13"/>
    <x v="3"/>
    <n v="1188"/>
    <n v="1239"/>
    <n v="51"/>
    <n v="4.2929292929292928E-2"/>
    <x v="1"/>
  </r>
  <r>
    <x v="4"/>
    <x v="1"/>
    <x v="1"/>
    <x v="13"/>
    <x v="3"/>
    <n v="1250"/>
    <n v="1162"/>
    <n v="-88"/>
    <n v="-7.0400000000000004E-2"/>
    <x v="0"/>
  </r>
  <r>
    <x v="5"/>
    <x v="1"/>
    <x v="1"/>
    <x v="13"/>
    <x v="3"/>
    <n v="1275"/>
    <n v="1369"/>
    <n v="94"/>
    <n v="7.3725490196078436E-2"/>
    <x v="1"/>
  </r>
  <r>
    <x v="6"/>
    <x v="2"/>
    <x v="1"/>
    <x v="13"/>
    <x v="3"/>
    <n v="1100"/>
    <n v="1012"/>
    <n v="-88"/>
    <n v="-0.08"/>
    <x v="0"/>
  </r>
  <r>
    <x v="7"/>
    <x v="2"/>
    <x v="1"/>
    <x v="13"/>
    <x v="3"/>
    <n v="1062"/>
    <n v="869"/>
    <n v="-193"/>
    <n v="-0.18173258003766479"/>
    <x v="0"/>
  </r>
  <r>
    <x v="8"/>
    <x v="2"/>
    <x v="1"/>
    <x v="13"/>
    <x v="3"/>
    <n v="1250"/>
    <n v="1155"/>
    <n v="-95"/>
    <n v="-7.5999999999999998E-2"/>
    <x v="0"/>
  </r>
  <r>
    <x v="9"/>
    <x v="3"/>
    <x v="1"/>
    <x v="13"/>
    <x v="3"/>
    <n v="1312"/>
    <n v="1345"/>
    <n v="33"/>
    <n v="2.5152439024390245E-2"/>
    <x v="1"/>
  </r>
  <r>
    <x v="10"/>
    <x v="3"/>
    <x v="1"/>
    <x v="13"/>
    <x v="3"/>
    <n v="1350"/>
    <n v="1534"/>
    <n v="184"/>
    <n v="0.1362962962962963"/>
    <x v="1"/>
  </r>
  <r>
    <x v="11"/>
    <x v="3"/>
    <x v="1"/>
    <x v="13"/>
    <x v="3"/>
    <n v="1975"/>
    <n v="1900"/>
    <n v="-75"/>
    <n v="-3.7974683544303799E-2"/>
    <x v="0"/>
  </r>
  <r>
    <x v="0"/>
    <x v="0"/>
    <x v="1"/>
    <x v="6"/>
    <x v="4"/>
    <n v="46042"/>
    <n v="46374"/>
    <n v="332"/>
    <n v="7.2108075235654406E-3"/>
    <x v="1"/>
  </r>
  <r>
    <x v="1"/>
    <x v="0"/>
    <x v="1"/>
    <x v="6"/>
    <x v="4"/>
    <n v="44417"/>
    <n v="45061"/>
    <n v="644"/>
    <n v="1.4498953103541436E-2"/>
    <x v="1"/>
  </r>
  <r>
    <x v="2"/>
    <x v="0"/>
    <x v="1"/>
    <x v="6"/>
    <x v="4"/>
    <n v="49833"/>
    <n v="49846"/>
    <n v="13"/>
    <n v="2.6087131017598779E-4"/>
    <x v="1"/>
  </r>
  <r>
    <x v="3"/>
    <x v="1"/>
    <x v="1"/>
    <x v="6"/>
    <x v="4"/>
    <n v="51458"/>
    <n v="51413"/>
    <n v="-45"/>
    <n v="-8.7449959190019047E-4"/>
    <x v="0"/>
  </r>
  <r>
    <x v="4"/>
    <x v="1"/>
    <x v="1"/>
    <x v="6"/>
    <x v="4"/>
    <n v="54167"/>
    <n v="53238"/>
    <n v="-929"/>
    <n v="-1.7150663688223457E-2"/>
    <x v="0"/>
  </r>
  <r>
    <x v="5"/>
    <x v="1"/>
    <x v="1"/>
    <x v="6"/>
    <x v="4"/>
    <n v="55250"/>
    <n v="55611"/>
    <n v="361"/>
    <n v="6.5339366515837103E-3"/>
    <x v="1"/>
  </r>
  <r>
    <x v="6"/>
    <x v="2"/>
    <x v="1"/>
    <x v="6"/>
    <x v="4"/>
    <n v="47667"/>
    <n v="48739"/>
    <n v="1072"/>
    <n v="2.2489353221306144E-2"/>
    <x v="1"/>
  </r>
  <r>
    <x v="7"/>
    <x v="2"/>
    <x v="1"/>
    <x v="6"/>
    <x v="4"/>
    <n v="46042"/>
    <n v="46025"/>
    <n v="-17"/>
    <n v="-3.6922809608618218E-4"/>
    <x v="0"/>
  </r>
  <r>
    <x v="8"/>
    <x v="2"/>
    <x v="1"/>
    <x v="6"/>
    <x v="4"/>
    <n v="54167"/>
    <n v="55219"/>
    <n v="1052"/>
    <n v="1.9421418945114184E-2"/>
    <x v="1"/>
  </r>
  <r>
    <x v="9"/>
    <x v="3"/>
    <x v="1"/>
    <x v="6"/>
    <x v="4"/>
    <n v="56875"/>
    <n v="57151"/>
    <n v="276"/>
    <n v="4.852747252747253E-3"/>
    <x v="1"/>
  </r>
  <r>
    <x v="10"/>
    <x v="3"/>
    <x v="1"/>
    <x v="6"/>
    <x v="4"/>
    <n v="58500"/>
    <n v="56990"/>
    <n v="-1510"/>
    <n v="-2.5811965811965813E-2"/>
    <x v="0"/>
  </r>
  <r>
    <x v="11"/>
    <x v="3"/>
    <x v="1"/>
    <x v="6"/>
    <x v="4"/>
    <n v="85583"/>
    <n v="84400"/>
    <n v="-1183"/>
    <n v="-1.3822838647862309E-2"/>
    <x v="0"/>
  </r>
  <r>
    <x v="0"/>
    <x v="0"/>
    <x v="1"/>
    <x v="22"/>
    <x v="4"/>
    <n v="5667"/>
    <n v="5970"/>
    <n v="303"/>
    <n v="5.3467443091582849E-2"/>
    <x v="1"/>
  </r>
  <r>
    <x v="1"/>
    <x v="0"/>
    <x v="1"/>
    <x v="22"/>
    <x v="4"/>
    <n v="5467"/>
    <n v="5230"/>
    <n v="-237"/>
    <n v="-4.3351015182001094E-2"/>
    <x v="0"/>
  </r>
  <r>
    <x v="2"/>
    <x v="0"/>
    <x v="1"/>
    <x v="22"/>
    <x v="4"/>
    <n v="6133"/>
    <n v="6063"/>
    <n v="-70"/>
    <n v="-1.1413663786075331E-2"/>
    <x v="0"/>
  </r>
  <r>
    <x v="3"/>
    <x v="1"/>
    <x v="1"/>
    <x v="22"/>
    <x v="4"/>
    <n v="6333"/>
    <n v="5965"/>
    <n v="-368"/>
    <n v="-5.810832149060477E-2"/>
    <x v="0"/>
  </r>
  <r>
    <x v="4"/>
    <x v="1"/>
    <x v="1"/>
    <x v="22"/>
    <x v="4"/>
    <n v="6667"/>
    <n v="6871"/>
    <n v="204"/>
    <n v="3.0598470076496177E-2"/>
    <x v="1"/>
  </r>
  <r>
    <x v="5"/>
    <x v="1"/>
    <x v="1"/>
    <x v="22"/>
    <x v="4"/>
    <n v="6800"/>
    <n v="6425"/>
    <n v="-375"/>
    <n v="-5.514705882352941E-2"/>
    <x v="0"/>
  </r>
  <r>
    <x v="6"/>
    <x v="2"/>
    <x v="1"/>
    <x v="22"/>
    <x v="4"/>
    <n v="5867"/>
    <n v="6254"/>
    <n v="387"/>
    <n v="6.596216124083859E-2"/>
    <x v="1"/>
  </r>
  <r>
    <x v="7"/>
    <x v="2"/>
    <x v="1"/>
    <x v="22"/>
    <x v="4"/>
    <n v="5667"/>
    <n v="5386"/>
    <n v="-281"/>
    <n v="-4.9585318510675845E-2"/>
    <x v="0"/>
  </r>
  <r>
    <x v="8"/>
    <x v="2"/>
    <x v="1"/>
    <x v="22"/>
    <x v="4"/>
    <n v="6667"/>
    <n v="6412"/>
    <n v="-255"/>
    <n v="-3.824808759562022E-2"/>
    <x v="0"/>
  </r>
  <r>
    <x v="9"/>
    <x v="3"/>
    <x v="1"/>
    <x v="22"/>
    <x v="4"/>
    <n v="7000"/>
    <n v="7043"/>
    <n v="43"/>
    <n v="6.1428571428571426E-3"/>
    <x v="1"/>
  </r>
  <r>
    <x v="10"/>
    <x v="3"/>
    <x v="1"/>
    <x v="22"/>
    <x v="4"/>
    <n v="7200"/>
    <n v="7209"/>
    <n v="9"/>
    <n v="1.25E-3"/>
    <x v="1"/>
  </r>
  <r>
    <x v="11"/>
    <x v="3"/>
    <x v="1"/>
    <x v="22"/>
    <x v="4"/>
    <n v="10533"/>
    <n v="11283"/>
    <n v="750"/>
    <n v="7.1204784961549417E-2"/>
    <x v="1"/>
  </r>
  <r>
    <x v="0"/>
    <x v="0"/>
    <x v="1"/>
    <x v="11"/>
    <x v="4"/>
    <n v="6375"/>
    <n v="6413"/>
    <n v="38"/>
    <n v="5.9607843137254903E-3"/>
    <x v="1"/>
  </r>
  <r>
    <x v="1"/>
    <x v="0"/>
    <x v="1"/>
    <x v="11"/>
    <x v="4"/>
    <n v="6150"/>
    <n v="5779"/>
    <n v="-371"/>
    <n v="-6.0325203252032521E-2"/>
    <x v="0"/>
  </r>
  <r>
    <x v="2"/>
    <x v="0"/>
    <x v="1"/>
    <x v="11"/>
    <x v="4"/>
    <n v="6900"/>
    <n v="6707"/>
    <n v="-193"/>
    <n v="-2.7971014492753622E-2"/>
    <x v="0"/>
  </r>
  <r>
    <x v="3"/>
    <x v="1"/>
    <x v="1"/>
    <x v="11"/>
    <x v="4"/>
    <n v="7125"/>
    <n v="6921"/>
    <n v="-204"/>
    <n v="-2.8631578947368421E-2"/>
    <x v="0"/>
  </r>
  <r>
    <x v="4"/>
    <x v="1"/>
    <x v="1"/>
    <x v="11"/>
    <x v="4"/>
    <n v="7500"/>
    <n v="7772"/>
    <n v="272"/>
    <n v="3.6266666666666669E-2"/>
    <x v="1"/>
  </r>
  <r>
    <x v="5"/>
    <x v="1"/>
    <x v="1"/>
    <x v="11"/>
    <x v="4"/>
    <n v="7650"/>
    <n v="7797"/>
    <n v="147"/>
    <n v="1.9215686274509803E-2"/>
    <x v="1"/>
  </r>
  <r>
    <x v="6"/>
    <x v="2"/>
    <x v="1"/>
    <x v="11"/>
    <x v="4"/>
    <n v="6600"/>
    <n v="6561"/>
    <n v="-39"/>
    <n v="-5.909090909090909E-3"/>
    <x v="0"/>
  </r>
  <r>
    <x v="7"/>
    <x v="2"/>
    <x v="1"/>
    <x v="11"/>
    <x v="4"/>
    <n v="6375"/>
    <n v="6652"/>
    <n v="277"/>
    <n v="4.3450980392156863E-2"/>
    <x v="1"/>
  </r>
  <r>
    <x v="8"/>
    <x v="2"/>
    <x v="1"/>
    <x v="11"/>
    <x v="4"/>
    <n v="7500"/>
    <n v="7302"/>
    <n v="-198"/>
    <n v="-2.64E-2"/>
    <x v="0"/>
  </r>
  <r>
    <x v="9"/>
    <x v="3"/>
    <x v="1"/>
    <x v="11"/>
    <x v="4"/>
    <n v="7875"/>
    <n v="7821"/>
    <n v="-54"/>
    <n v="-6.8571428571428568E-3"/>
    <x v="0"/>
  </r>
  <r>
    <x v="10"/>
    <x v="3"/>
    <x v="1"/>
    <x v="11"/>
    <x v="4"/>
    <n v="8100"/>
    <n v="8173"/>
    <n v="73"/>
    <n v="9.0123456790123461E-3"/>
    <x v="1"/>
  </r>
  <r>
    <x v="11"/>
    <x v="3"/>
    <x v="1"/>
    <x v="11"/>
    <x v="4"/>
    <n v="11850"/>
    <n v="12755"/>
    <n v="905"/>
    <n v="7.6371308016877637E-2"/>
    <x v="1"/>
  </r>
  <r>
    <x v="0"/>
    <x v="0"/>
    <x v="1"/>
    <x v="23"/>
    <x v="4"/>
    <n v="14167"/>
    <n v="14097"/>
    <n v="-70"/>
    <n v="-4.9410602103479922E-3"/>
    <x v="0"/>
  </r>
  <r>
    <x v="1"/>
    <x v="0"/>
    <x v="1"/>
    <x v="23"/>
    <x v="4"/>
    <n v="13667"/>
    <n v="13427"/>
    <n v="-240"/>
    <n v="-1.7560547303724298E-2"/>
    <x v="0"/>
  </r>
  <r>
    <x v="2"/>
    <x v="0"/>
    <x v="1"/>
    <x v="23"/>
    <x v="4"/>
    <n v="15333"/>
    <n v="14531"/>
    <n v="-802"/>
    <n v="-5.2305484901845695E-2"/>
    <x v="0"/>
  </r>
  <r>
    <x v="3"/>
    <x v="1"/>
    <x v="1"/>
    <x v="23"/>
    <x v="4"/>
    <n v="15833"/>
    <n v="16376"/>
    <n v="543"/>
    <n v="3.4295458851765298E-2"/>
    <x v="1"/>
  </r>
  <r>
    <x v="4"/>
    <x v="1"/>
    <x v="1"/>
    <x v="23"/>
    <x v="4"/>
    <n v="16667"/>
    <n v="16177"/>
    <n v="-490"/>
    <n v="-2.9399412011759767E-2"/>
    <x v="0"/>
  </r>
  <r>
    <x v="5"/>
    <x v="1"/>
    <x v="1"/>
    <x v="23"/>
    <x v="4"/>
    <n v="17000"/>
    <n v="17292"/>
    <n v="292"/>
    <n v="1.7176470588235293E-2"/>
    <x v="1"/>
  </r>
  <r>
    <x v="6"/>
    <x v="2"/>
    <x v="1"/>
    <x v="23"/>
    <x v="4"/>
    <n v="14667"/>
    <n v="13272"/>
    <n v="-1395"/>
    <n v="-9.5111474739210472E-2"/>
    <x v="0"/>
  </r>
  <r>
    <x v="7"/>
    <x v="2"/>
    <x v="1"/>
    <x v="23"/>
    <x v="4"/>
    <n v="14167"/>
    <n v="14906"/>
    <n v="739"/>
    <n v="5.2163478506388083E-2"/>
    <x v="1"/>
  </r>
  <r>
    <x v="8"/>
    <x v="2"/>
    <x v="1"/>
    <x v="23"/>
    <x v="4"/>
    <n v="16667"/>
    <n v="15557"/>
    <n v="-1110"/>
    <n v="-6.6598668026639468E-2"/>
    <x v="0"/>
  </r>
  <r>
    <x v="9"/>
    <x v="3"/>
    <x v="1"/>
    <x v="23"/>
    <x v="4"/>
    <n v="17500"/>
    <n v="16820"/>
    <n v="-680"/>
    <n v="-3.8857142857142854E-2"/>
    <x v="0"/>
  </r>
  <r>
    <x v="10"/>
    <x v="3"/>
    <x v="1"/>
    <x v="23"/>
    <x v="4"/>
    <n v="18000"/>
    <n v="18953"/>
    <n v="953"/>
    <n v="5.2944444444444447E-2"/>
    <x v="1"/>
  </r>
  <r>
    <x v="11"/>
    <x v="3"/>
    <x v="1"/>
    <x v="23"/>
    <x v="4"/>
    <n v="26333"/>
    <n v="24576"/>
    <n v="-1757"/>
    <n v="-6.6722363574222454E-2"/>
    <x v="0"/>
  </r>
  <r>
    <x v="0"/>
    <x v="0"/>
    <x v="1"/>
    <x v="24"/>
    <x v="4"/>
    <n v="2550"/>
    <n v="2540"/>
    <n v="-10"/>
    <n v="-3.9215686274509803E-3"/>
    <x v="0"/>
  </r>
  <r>
    <x v="1"/>
    <x v="0"/>
    <x v="1"/>
    <x v="24"/>
    <x v="4"/>
    <n v="2460"/>
    <n v="2469"/>
    <n v="9"/>
    <n v="3.6585365853658539E-3"/>
    <x v="1"/>
  </r>
  <r>
    <x v="2"/>
    <x v="0"/>
    <x v="1"/>
    <x v="24"/>
    <x v="4"/>
    <n v="2760"/>
    <n v="2622"/>
    <n v="-138"/>
    <n v="-0.05"/>
    <x v="0"/>
  </r>
  <r>
    <x v="3"/>
    <x v="1"/>
    <x v="1"/>
    <x v="24"/>
    <x v="4"/>
    <n v="2850"/>
    <n v="3041"/>
    <n v="191"/>
    <n v="6.7017543859649129E-2"/>
    <x v="1"/>
  </r>
  <r>
    <x v="4"/>
    <x v="1"/>
    <x v="1"/>
    <x v="24"/>
    <x v="4"/>
    <n v="3000"/>
    <n v="3225"/>
    <n v="225"/>
    <n v="7.4999999999999997E-2"/>
    <x v="1"/>
  </r>
  <r>
    <x v="5"/>
    <x v="1"/>
    <x v="1"/>
    <x v="24"/>
    <x v="4"/>
    <n v="3060"/>
    <n v="2758"/>
    <n v="-302"/>
    <n v="-9.8692810457516336E-2"/>
    <x v="0"/>
  </r>
  <r>
    <x v="6"/>
    <x v="2"/>
    <x v="1"/>
    <x v="24"/>
    <x v="4"/>
    <n v="2640"/>
    <n v="2449"/>
    <n v="-191"/>
    <n v="-7.2348484848484843E-2"/>
    <x v="0"/>
  </r>
  <r>
    <x v="7"/>
    <x v="2"/>
    <x v="1"/>
    <x v="24"/>
    <x v="4"/>
    <n v="2550"/>
    <n v="2653"/>
    <n v="103"/>
    <n v="4.0392156862745096E-2"/>
    <x v="1"/>
  </r>
  <r>
    <x v="8"/>
    <x v="2"/>
    <x v="1"/>
    <x v="24"/>
    <x v="4"/>
    <n v="3000"/>
    <n v="2805"/>
    <n v="-195"/>
    <n v="-6.5000000000000002E-2"/>
    <x v="0"/>
  </r>
  <r>
    <x v="9"/>
    <x v="3"/>
    <x v="1"/>
    <x v="24"/>
    <x v="4"/>
    <n v="3150"/>
    <n v="3089"/>
    <n v="-61"/>
    <n v="-1.9365079365079366E-2"/>
    <x v="0"/>
  </r>
  <r>
    <x v="10"/>
    <x v="3"/>
    <x v="1"/>
    <x v="24"/>
    <x v="4"/>
    <n v="3240"/>
    <n v="3261"/>
    <n v="21"/>
    <n v="6.4814814814814813E-3"/>
    <x v="1"/>
  </r>
  <r>
    <x v="11"/>
    <x v="3"/>
    <x v="1"/>
    <x v="24"/>
    <x v="4"/>
    <n v="4740"/>
    <n v="4904"/>
    <n v="164"/>
    <n v="3.4599156118143459E-2"/>
    <x v="1"/>
  </r>
  <r>
    <x v="0"/>
    <x v="0"/>
    <x v="1"/>
    <x v="13"/>
    <x v="4"/>
    <n v="850"/>
    <n v="860"/>
    <n v="10"/>
    <n v="1.1764705882352941E-2"/>
    <x v="1"/>
  </r>
  <r>
    <x v="1"/>
    <x v="0"/>
    <x v="1"/>
    <x v="13"/>
    <x v="4"/>
    <n v="820"/>
    <n v="947"/>
    <n v="127"/>
    <n v="0.1548780487804878"/>
    <x v="1"/>
  </r>
  <r>
    <x v="2"/>
    <x v="0"/>
    <x v="1"/>
    <x v="13"/>
    <x v="4"/>
    <n v="920"/>
    <n v="958"/>
    <n v="38"/>
    <n v="4.1304347826086954E-2"/>
    <x v="1"/>
  </r>
  <r>
    <x v="3"/>
    <x v="1"/>
    <x v="1"/>
    <x v="13"/>
    <x v="4"/>
    <n v="950"/>
    <n v="962"/>
    <n v="12"/>
    <n v="1.2631578947368421E-2"/>
    <x v="1"/>
  </r>
  <r>
    <x v="4"/>
    <x v="1"/>
    <x v="1"/>
    <x v="13"/>
    <x v="4"/>
    <n v="1000"/>
    <n v="981"/>
    <n v="-19"/>
    <n v="-1.9E-2"/>
    <x v="0"/>
  </r>
  <r>
    <x v="5"/>
    <x v="1"/>
    <x v="1"/>
    <x v="13"/>
    <x v="4"/>
    <n v="1020"/>
    <n v="1117"/>
    <n v="97"/>
    <n v="9.509803921568627E-2"/>
    <x v="1"/>
  </r>
  <r>
    <x v="6"/>
    <x v="2"/>
    <x v="1"/>
    <x v="13"/>
    <x v="4"/>
    <n v="880"/>
    <n v="906"/>
    <n v="26"/>
    <n v="2.9545454545454545E-2"/>
    <x v="1"/>
  </r>
  <r>
    <x v="7"/>
    <x v="2"/>
    <x v="1"/>
    <x v="13"/>
    <x v="4"/>
    <n v="850"/>
    <n v="935"/>
    <n v="85"/>
    <n v="0.1"/>
    <x v="1"/>
  </r>
  <r>
    <x v="8"/>
    <x v="2"/>
    <x v="1"/>
    <x v="13"/>
    <x v="4"/>
    <n v="1000"/>
    <n v="1036"/>
    <n v="36"/>
    <n v="3.5999999999999997E-2"/>
    <x v="1"/>
  </r>
  <r>
    <x v="9"/>
    <x v="3"/>
    <x v="1"/>
    <x v="13"/>
    <x v="4"/>
    <n v="1050"/>
    <n v="1159"/>
    <n v="109"/>
    <n v="0.10380952380952381"/>
    <x v="1"/>
  </r>
  <r>
    <x v="10"/>
    <x v="3"/>
    <x v="1"/>
    <x v="13"/>
    <x v="4"/>
    <n v="1080"/>
    <n v="954"/>
    <n v="-126"/>
    <n v="-0.11666666666666667"/>
    <x v="0"/>
  </r>
  <r>
    <x v="11"/>
    <x v="3"/>
    <x v="1"/>
    <x v="13"/>
    <x v="4"/>
    <n v="1580"/>
    <n v="1222"/>
    <n v="-358"/>
    <n v="-0.22658227848101264"/>
    <x v="0"/>
  </r>
  <r>
    <x v="0"/>
    <x v="0"/>
    <x v="1"/>
    <x v="6"/>
    <x v="5"/>
    <n v="99167"/>
    <n v="99577"/>
    <n v="410"/>
    <n v="4.1344398842356831E-3"/>
    <x v="1"/>
  </r>
  <r>
    <x v="1"/>
    <x v="0"/>
    <x v="1"/>
    <x v="6"/>
    <x v="5"/>
    <n v="95667"/>
    <n v="95812"/>
    <n v="145"/>
    <n v="1.5156741614140716E-3"/>
    <x v="1"/>
  </r>
  <r>
    <x v="2"/>
    <x v="0"/>
    <x v="1"/>
    <x v="6"/>
    <x v="5"/>
    <n v="107333"/>
    <n v="107332"/>
    <n v="-1"/>
    <n v="-9.3167991204941629E-6"/>
    <x v="0"/>
  </r>
  <r>
    <x v="3"/>
    <x v="1"/>
    <x v="1"/>
    <x v="6"/>
    <x v="5"/>
    <n v="110833"/>
    <n v="109269"/>
    <n v="-1564"/>
    <n v="-1.4111320635550784E-2"/>
    <x v="0"/>
  </r>
  <r>
    <x v="4"/>
    <x v="1"/>
    <x v="1"/>
    <x v="6"/>
    <x v="5"/>
    <n v="116667"/>
    <n v="115073"/>
    <n v="-1594"/>
    <n v="-1.3662818106233982E-2"/>
    <x v="0"/>
  </r>
  <r>
    <x v="5"/>
    <x v="1"/>
    <x v="1"/>
    <x v="6"/>
    <x v="5"/>
    <n v="119000"/>
    <n v="118753"/>
    <n v="-247"/>
    <n v="-2.0756302521008404E-3"/>
    <x v="0"/>
  </r>
  <r>
    <x v="6"/>
    <x v="2"/>
    <x v="1"/>
    <x v="6"/>
    <x v="5"/>
    <n v="102667"/>
    <n v="102742"/>
    <n v="75"/>
    <n v="7.3051710871068604E-4"/>
    <x v="1"/>
  </r>
  <r>
    <x v="7"/>
    <x v="2"/>
    <x v="1"/>
    <x v="6"/>
    <x v="5"/>
    <n v="99167"/>
    <n v="100218"/>
    <n v="1051"/>
    <n v="1.0598283703248057E-2"/>
    <x v="1"/>
  </r>
  <r>
    <x v="8"/>
    <x v="2"/>
    <x v="1"/>
    <x v="6"/>
    <x v="5"/>
    <n v="116667"/>
    <n v="116347"/>
    <n v="-320"/>
    <n v="-2.7428493061448394E-3"/>
    <x v="0"/>
  </r>
  <r>
    <x v="9"/>
    <x v="3"/>
    <x v="1"/>
    <x v="6"/>
    <x v="5"/>
    <n v="122500"/>
    <n v="120514"/>
    <n v="-1986"/>
    <n v="-1.6212244897959183E-2"/>
    <x v="0"/>
  </r>
  <r>
    <x v="10"/>
    <x v="3"/>
    <x v="1"/>
    <x v="6"/>
    <x v="5"/>
    <n v="126000"/>
    <n v="127498"/>
    <n v="1498"/>
    <n v="1.1888888888888888E-2"/>
    <x v="1"/>
  </r>
  <r>
    <x v="11"/>
    <x v="3"/>
    <x v="1"/>
    <x v="6"/>
    <x v="5"/>
    <n v="184333"/>
    <n v="183424"/>
    <n v="-909"/>
    <n v="-4.9312928233143276E-3"/>
    <x v="0"/>
  </r>
  <r>
    <x v="0"/>
    <x v="0"/>
    <x v="1"/>
    <x v="25"/>
    <x v="5"/>
    <n v="25500"/>
    <n v="26891"/>
    <n v="1391"/>
    <n v="5.4549019607843134E-2"/>
    <x v="1"/>
  </r>
  <r>
    <x v="1"/>
    <x v="0"/>
    <x v="1"/>
    <x v="25"/>
    <x v="5"/>
    <n v="24600"/>
    <n v="21716"/>
    <n v="-2884"/>
    <n v="-0.11723577235772357"/>
    <x v="0"/>
  </r>
  <r>
    <x v="2"/>
    <x v="0"/>
    <x v="1"/>
    <x v="25"/>
    <x v="5"/>
    <n v="27600"/>
    <n v="27845"/>
    <n v="245"/>
    <n v="8.8768115942028988E-3"/>
    <x v="1"/>
  </r>
  <r>
    <x v="3"/>
    <x v="1"/>
    <x v="1"/>
    <x v="25"/>
    <x v="5"/>
    <n v="28500"/>
    <n v="28704"/>
    <n v="204"/>
    <n v="7.1578947368421053E-3"/>
    <x v="1"/>
  </r>
  <r>
    <x v="4"/>
    <x v="1"/>
    <x v="1"/>
    <x v="25"/>
    <x v="5"/>
    <n v="30000"/>
    <n v="29144"/>
    <n v="-856"/>
    <n v="-2.8533333333333334E-2"/>
    <x v="0"/>
  </r>
  <r>
    <x v="5"/>
    <x v="1"/>
    <x v="1"/>
    <x v="25"/>
    <x v="5"/>
    <n v="30600"/>
    <n v="32729"/>
    <n v="2129"/>
    <n v="6.957516339869281E-2"/>
    <x v="1"/>
  </r>
  <r>
    <x v="6"/>
    <x v="2"/>
    <x v="1"/>
    <x v="25"/>
    <x v="5"/>
    <n v="26400"/>
    <n v="27681"/>
    <n v="1281"/>
    <n v="4.8522727272727273E-2"/>
    <x v="1"/>
  </r>
  <r>
    <x v="7"/>
    <x v="2"/>
    <x v="1"/>
    <x v="25"/>
    <x v="5"/>
    <n v="25500"/>
    <n v="25167"/>
    <n v="-333"/>
    <n v="-1.3058823529411765E-2"/>
    <x v="0"/>
  </r>
  <r>
    <x v="8"/>
    <x v="2"/>
    <x v="1"/>
    <x v="25"/>
    <x v="5"/>
    <n v="30000"/>
    <n v="29870"/>
    <n v="-130"/>
    <n v="-4.3333333333333331E-3"/>
    <x v="0"/>
  </r>
  <r>
    <x v="9"/>
    <x v="3"/>
    <x v="1"/>
    <x v="25"/>
    <x v="5"/>
    <n v="31500"/>
    <n v="30889"/>
    <n v="-611"/>
    <n v="-1.9396825396825398E-2"/>
    <x v="0"/>
  </r>
  <r>
    <x v="10"/>
    <x v="3"/>
    <x v="1"/>
    <x v="25"/>
    <x v="5"/>
    <n v="32400"/>
    <n v="31570"/>
    <n v="-830"/>
    <n v="-2.5617283950617284E-2"/>
    <x v="0"/>
  </r>
  <r>
    <x v="11"/>
    <x v="3"/>
    <x v="1"/>
    <x v="25"/>
    <x v="5"/>
    <n v="47400"/>
    <n v="44300"/>
    <n v="-3100"/>
    <n v="-6.5400843881856546E-2"/>
    <x v="0"/>
  </r>
  <r>
    <x v="0"/>
    <x v="0"/>
    <x v="1"/>
    <x v="26"/>
    <x v="5"/>
    <n v="12750"/>
    <n v="13630"/>
    <n v="880"/>
    <n v="6.9019607843137251E-2"/>
    <x v="1"/>
  </r>
  <r>
    <x v="1"/>
    <x v="0"/>
    <x v="1"/>
    <x v="26"/>
    <x v="5"/>
    <n v="12300"/>
    <n v="12932"/>
    <n v="632"/>
    <n v="5.1382113821138213E-2"/>
    <x v="1"/>
  </r>
  <r>
    <x v="2"/>
    <x v="0"/>
    <x v="1"/>
    <x v="26"/>
    <x v="5"/>
    <n v="13800"/>
    <n v="14351"/>
    <n v="551"/>
    <n v="3.992753623188406E-2"/>
    <x v="1"/>
  </r>
  <r>
    <x v="3"/>
    <x v="1"/>
    <x v="1"/>
    <x v="26"/>
    <x v="5"/>
    <n v="14250"/>
    <n v="13470"/>
    <n v="-780"/>
    <n v="-5.473684210526316E-2"/>
    <x v="0"/>
  </r>
  <r>
    <x v="4"/>
    <x v="1"/>
    <x v="1"/>
    <x v="26"/>
    <x v="5"/>
    <n v="15000"/>
    <n v="16561"/>
    <n v="1561"/>
    <n v="0.10406666666666667"/>
    <x v="1"/>
  </r>
  <r>
    <x v="5"/>
    <x v="1"/>
    <x v="1"/>
    <x v="26"/>
    <x v="5"/>
    <n v="15300"/>
    <n v="16815"/>
    <n v="1515"/>
    <n v="9.901960784313725E-2"/>
    <x v="1"/>
  </r>
  <r>
    <x v="6"/>
    <x v="2"/>
    <x v="1"/>
    <x v="26"/>
    <x v="5"/>
    <n v="13200"/>
    <n v="13324"/>
    <n v="124"/>
    <n v="9.3939393939393937E-3"/>
    <x v="1"/>
  </r>
  <r>
    <x v="7"/>
    <x v="2"/>
    <x v="1"/>
    <x v="26"/>
    <x v="5"/>
    <n v="12750"/>
    <n v="12174"/>
    <n v="-576"/>
    <n v="-4.5176470588235297E-2"/>
    <x v="0"/>
  </r>
  <r>
    <x v="8"/>
    <x v="2"/>
    <x v="1"/>
    <x v="26"/>
    <x v="5"/>
    <n v="15000"/>
    <n v="14350"/>
    <n v="-650"/>
    <n v="-4.3333333333333335E-2"/>
    <x v="0"/>
  </r>
  <r>
    <x v="9"/>
    <x v="3"/>
    <x v="1"/>
    <x v="26"/>
    <x v="5"/>
    <n v="15750"/>
    <n v="16080"/>
    <n v="330"/>
    <n v="2.0952380952380951E-2"/>
    <x v="1"/>
  </r>
  <r>
    <x v="10"/>
    <x v="3"/>
    <x v="1"/>
    <x v="26"/>
    <x v="5"/>
    <n v="16200"/>
    <n v="15460"/>
    <n v="-740"/>
    <n v="-4.5679012345679011E-2"/>
    <x v="0"/>
  </r>
  <r>
    <x v="11"/>
    <x v="3"/>
    <x v="1"/>
    <x v="26"/>
    <x v="5"/>
    <n v="23700"/>
    <n v="23659"/>
    <n v="-41"/>
    <n v="-1.7299578059071731E-3"/>
    <x v="0"/>
  </r>
  <r>
    <x v="0"/>
    <x v="0"/>
    <x v="1"/>
    <x v="27"/>
    <x v="5"/>
    <n v="8500"/>
    <n v="8963"/>
    <n v="463"/>
    <n v="5.4470588235294118E-2"/>
    <x v="1"/>
  </r>
  <r>
    <x v="1"/>
    <x v="0"/>
    <x v="1"/>
    <x v="27"/>
    <x v="5"/>
    <n v="8200"/>
    <n v="7582"/>
    <n v="-618"/>
    <n v="-7.5365853658536583E-2"/>
    <x v="0"/>
  </r>
  <r>
    <x v="2"/>
    <x v="0"/>
    <x v="1"/>
    <x v="27"/>
    <x v="5"/>
    <n v="9200"/>
    <n v="10123"/>
    <n v="923"/>
    <n v="0.10032608695652175"/>
    <x v="1"/>
  </r>
  <r>
    <x v="3"/>
    <x v="1"/>
    <x v="1"/>
    <x v="27"/>
    <x v="5"/>
    <n v="9500"/>
    <n v="10244"/>
    <n v="744"/>
    <n v="7.8315789473684214E-2"/>
    <x v="1"/>
  </r>
  <r>
    <x v="4"/>
    <x v="1"/>
    <x v="1"/>
    <x v="27"/>
    <x v="5"/>
    <n v="10000"/>
    <n v="9381"/>
    <n v="-619"/>
    <n v="-6.1899999999999997E-2"/>
    <x v="0"/>
  </r>
  <r>
    <x v="5"/>
    <x v="1"/>
    <x v="1"/>
    <x v="27"/>
    <x v="5"/>
    <n v="10200"/>
    <n v="9479"/>
    <n v="-721"/>
    <n v="-7.0686274509803915E-2"/>
    <x v="0"/>
  </r>
  <r>
    <x v="6"/>
    <x v="2"/>
    <x v="1"/>
    <x v="27"/>
    <x v="5"/>
    <n v="8800"/>
    <n v="8675"/>
    <n v="-125"/>
    <n v="-1.4204545454545454E-2"/>
    <x v="0"/>
  </r>
  <r>
    <x v="7"/>
    <x v="2"/>
    <x v="1"/>
    <x v="27"/>
    <x v="5"/>
    <n v="8500"/>
    <n v="8062"/>
    <n v="-438"/>
    <n v="-5.1529411764705879E-2"/>
    <x v="0"/>
  </r>
  <r>
    <x v="8"/>
    <x v="2"/>
    <x v="1"/>
    <x v="27"/>
    <x v="5"/>
    <n v="10000"/>
    <n v="9868"/>
    <n v="-132"/>
    <n v="-1.32E-2"/>
    <x v="0"/>
  </r>
  <r>
    <x v="9"/>
    <x v="3"/>
    <x v="1"/>
    <x v="27"/>
    <x v="5"/>
    <n v="10500"/>
    <n v="9145"/>
    <n v="-1355"/>
    <n v="-0.12904761904761905"/>
    <x v="0"/>
  </r>
  <r>
    <x v="10"/>
    <x v="3"/>
    <x v="1"/>
    <x v="27"/>
    <x v="5"/>
    <n v="10800"/>
    <n v="10677"/>
    <n v="-123"/>
    <n v="-1.1388888888888889E-2"/>
    <x v="0"/>
  </r>
  <r>
    <x v="11"/>
    <x v="3"/>
    <x v="1"/>
    <x v="27"/>
    <x v="5"/>
    <n v="15800"/>
    <n v="17224"/>
    <n v="1424"/>
    <n v="9.0126582278481013E-2"/>
    <x v="1"/>
  </r>
  <r>
    <x v="0"/>
    <x v="0"/>
    <x v="1"/>
    <x v="28"/>
    <x v="5"/>
    <n v="6375"/>
    <n v="6019"/>
    <n v="-356"/>
    <n v="-5.5843137254901962E-2"/>
    <x v="0"/>
  </r>
  <r>
    <x v="1"/>
    <x v="0"/>
    <x v="1"/>
    <x v="28"/>
    <x v="5"/>
    <n v="6150"/>
    <n v="6066"/>
    <n v="-84"/>
    <n v="-1.3658536585365854E-2"/>
    <x v="0"/>
  </r>
  <r>
    <x v="2"/>
    <x v="0"/>
    <x v="1"/>
    <x v="28"/>
    <x v="5"/>
    <n v="6900"/>
    <n v="6386"/>
    <n v="-514"/>
    <n v="-7.4492753623188412E-2"/>
    <x v="0"/>
  </r>
  <r>
    <x v="3"/>
    <x v="1"/>
    <x v="1"/>
    <x v="28"/>
    <x v="5"/>
    <n v="7125"/>
    <n v="7352"/>
    <n v="227"/>
    <n v="3.1859649122807018E-2"/>
    <x v="1"/>
  </r>
  <r>
    <x v="4"/>
    <x v="1"/>
    <x v="1"/>
    <x v="28"/>
    <x v="5"/>
    <n v="7500"/>
    <n v="7416"/>
    <n v="-84"/>
    <n v="-1.12E-2"/>
    <x v="0"/>
  </r>
  <r>
    <x v="5"/>
    <x v="1"/>
    <x v="1"/>
    <x v="28"/>
    <x v="5"/>
    <n v="7650"/>
    <n v="8392"/>
    <n v="742"/>
    <n v="9.6993464052287579E-2"/>
    <x v="1"/>
  </r>
  <r>
    <x v="6"/>
    <x v="2"/>
    <x v="1"/>
    <x v="28"/>
    <x v="5"/>
    <n v="6600"/>
    <n v="6668"/>
    <n v="68"/>
    <n v="1.0303030303030303E-2"/>
    <x v="1"/>
  </r>
  <r>
    <x v="7"/>
    <x v="2"/>
    <x v="1"/>
    <x v="28"/>
    <x v="5"/>
    <n v="6375"/>
    <n v="6256"/>
    <n v="-119"/>
    <n v="-1.8666666666666668E-2"/>
    <x v="0"/>
  </r>
  <r>
    <x v="8"/>
    <x v="2"/>
    <x v="1"/>
    <x v="28"/>
    <x v="5"/>
    <n v="7500"/>
    <n v="7706"/>
    <n v="206"/>
    <n v="2.7466666666666667E-2"/>
    <x v="1"/>
  </r>
  <r>
    <x v="9"/>
    <x v="3"/>
    <x v="1"/>
    <x v="28"/>
    <x v="5"/>
    <n v="7875"/>
    <n v="7676"/>
    <n v="-199"/>
    <n v="-2.5269841269841269E-2"/>
    <x v="0"/>
  </r>
  <r>
    <x v="10"/>
    <x v="3"/>
    <x v="1"/>
    <x v="28"/>
    <x v="5"/>
    <n v="8100"/>
    <n v="7558"/>
    <n v="-542"/>
    <n v="-6.6913580246913587E-2"/>
    <x v="0"/>
  </r>
  <r>
    <x v="11"/>
    <x v="3"/>
    <x v="1"/>
    <x v="28"/>
    <x v="5"/>
    <n v="11850"/>
    <n v="12029"/>
    <n v="179"/>
    <n v="1.5105485232067511E-2"/>
    <x v="1"/>
  </r>
  <r>
    <x v="0"/>
    <x v="0"/>
    <x v="1"/>
    <x v="29"/>
    <x v="5"/>
    <n v="4250"/>
    <n v="4213"/>
    <n v="-37"/>
    <n v="-8.7058823529411761E-3"/>
    <x v="0"/>
  </r>
  <r>
    <x v="1"/>
    <x v="0"/>
    <x v="1"/>
    <x v="29"/>
    <x v="5"/>
    <n v="4100"/>
    <n v="4134"/>
    <n v="34"/>
    <n v="8.2926829268292687E-3"/>
    <x v="1"/>
  </r>
  <r>
    <x v="2"/>
    <x v="0"/>
    <x v="1"/>
    <x v="29"/>
    <x v="5"/>
    <n v="4600"/>
    <n v="4686"/>
    <n v="86"/>
    <n v="1.8695652173913044E-2"/>
    <x v="1"/>
  </r>
  <r>
    <x v="3"/>
    <x v="1"/>
    <x v="1"/>
    <x v="29"/>
    <x v="5"/>
    <n v="4750"/>
    <n v="4629"/>
    <n v="-121"/>
    <n v="-2.5473684210526315E-2"/>
    <x v="0"/>
  </r>
  <r>
    <x v="4"/>
    <x v="1"/>
    <x v="1"/>
    <x v="29"/>
    <x v="5"/>
    <n v="5000"/>
    <n v="5105"/>
    <n v="105"/>
    <n v="2.1000000000000001E-2"/>
    <x v="1"/>
  </r>
  <r>
    <x v="5"/>
    <x v="1"/>
    <x v="1"/>
    <x v="29"/>
    <x v="5"/>
    <n v="5100"/>
    <n v="5543"/>
    <n v="443"/>
    <n v="8.6862745098039221E-2"/>
    <x v="1"/>
  </r>
  <r>
    <x v="6"/>
    <x v="2"/>
    <x v="1"/>
    <x v="29"/>
    <x v="5"/>
    <n v="4400"/>
    <n v="4156"/>
    <n v="-244"/>
    <n v="-5.5454545454545458E-2"/>
    <x v="0"/>
  </r>
  <r>
    <x v="7"/>
    <x v="2"/>
    <x v="1"/>
    <x v="29"/>
    <x v="5"/>
    <n v="4250"/>
    <n v="4619"/>
    <n v="369"/>
    <n v="8.6823529411764702E-2"/>
    <x v="1"/>
  </r>
  <r>
    <x v="8"/>
    <x v="2"/>
    <x v="1"/>
    <x v="29"/>
    <x v="5"/>
    <n v="5000"/>
    <n v="4939"/>
    <n v="-61"/>
    <n v="-1.2200000000000001E-2"/>
    <x v="0"/>
  </r>
  <r>
    <x v="9"/>
    <x v="3"/>
    <x v="1"/>
    <x v="29"/>
    <x v="5"/>
    <n v="5250"/>
    <n v="5049"/>
    <n v="-201"/>
    <n v="-3.8285714285714284E-2"/>
    <x v="0"/>
  </r>
  <r>
    <x v="10"/>
    <x v="3"/>
    <x v="1"/>
    <x v="29"/>
    <x v="5"/>
    <n v="5400"/>
    <n v="6055"/>
    <n v="655"/>
    <n v="0.12129629629629629"/>
    <x v="1"/>
  </r>
  <r>
    <x v="11"/>
    <x v="3"/>
    <x v="1"/>
    <x v="29"/>
    <x v="5"/>
    <n v="7900"/>
    <n v="7961"/>
    <n v="61"/>
    <n v="7.7215189873417718E-3"/>
    <x v="1"/>
  </r>
  <r>
    <x v="0"/>
    <x v="0"/>
    <x v="1"/>
    <x v="13"/>
    <x v="5"/>
    <n v="1417"/>
    <n v="1556"/>
    <n v="139"/>
    <n v="9.8094565984474247E-2"/>
    <x v="1"/>
  </r>
  <r>
    <x v="1"/>
    <x v="0"/>
    <x v="1"/>
    <x v="13"/>
    <x v="5"/>
    <n v="1367"/>
    <n v="1387"/>
    <n v="20"/>
    <n v="1.4630577907827359E-2"/>
    <x v="1"/>
  </r>
  <r>
    <x v="2"/>
    <x v="0"/>
    <x v="1"/>
    <x v="13"/>
    <x v="5"/>
    <n v="1533"/>
    <n v="1286"/>
    <n v="-247"/>
    <n v="-0.16112198303979125"/>
    <x v="0"/>
  </r>
  <r>
    <x v="3"/>
    <x v="1"/>
    <x v="1"/>
    <x v="13"/>
    <x v="5"/>
    <n v="1583"/>
    <n v="1602"/>
    <n v="19"/>
    <n v="1.2002526847757423E-2"/>
    <x v="1"/>
  </r>
  <r>
    <x v="4"/>
    <x v="1"/>
    <x v="1"/>
    <x v="13"/>
    <x v="5"/>
    <n v="1667"/>
    <n v="1745"/>
    <n v="78"/>
    <n v="4.6790641871625675E-2"/>
    <x v="1"/>
  </r>
  <r>
    <x v="5"/>
    <x v="1"/>
    <x v="1"/>
    <x v="13"/>
    <x v="5"/>
    <n v="1700"/>
    <n v="1537"/>
    <n v="-163"/>
    <n v="-9.5882352941176474E-2"/>
    <x v="0"/>
  </r>
  <r>
    <x v="6"/>
    <x v="2"/>
    <x v="1"/>
    <x v="13"/>
    <x v="5"/>
    <n v="1467"/>
    <n v="1369"/>
    <n v="-98"/>
    <n v="-6.6802999318336748E-2"/>
    <x v="0"/>
  </r>
  <r>
    <x v="7"/>
    <x v="2"/>
    <x v="1"/>
    <x v="13"/>
    <x v="5"/>
    <n v="1417"/>
    <n v="1382"/>
    <n v="-35"/>
    <n v="-2.4700070571630206E-2"/>
    <x v="0"/>
  </r>
  <r>
    <x v="8"/>
    <x v="2"/>
    <x v="1"/>
    <x v="13"/>
    <x v="5"/>
    <n v="1667"/>
    <n v="1488"/>
    <n v="-179"/>
    <n v="-0.10737852429514097"/>
    <x v="0"/>
  </r>
  <r>
    <x v="9"/>
    <x v="3"/>
    <x v="1"/>
    <x v="13"/>
    <x v="5"/>
    <n v="1750"/>
    <n v="1590"/>
    <n v="-160"/>
    <n v="-9.1428571428571428E-2"/>
    <x v="0"/>
  </r>
  <r>
    <x v="10"/>
    <x v="3"/>
    <x v="1"/>
    <x v="13"/>
    <x v="5"/>
    <n v="1800"/>
    <n v="1910"/>
    <n v="110"/>
    <n v="6.1111111111111109E-2"/>
    <x v="1"/>
  </r>
  <r>
    <x v="11"/>
    <x v="3"/>
    <x v="1"/>
    <x v="13"/>
    <x v="5"/>
    <n v="2633"/>
    <n v="2782"/>
    <n v="149"/>
    <n v="5.6589441701481197E-2"/>
    <x v="1"/>
  </r>
  <r>
    <x v="0"/>
    <x v="0"/>
    <x v="1"/>
    <x v="6"/>
    <x v="6"/>
    <n v="51000"/>
    <n v="50807"/>
    <n v="-193"/>
    <n v="-3.7843137254901962E-3"/>
    <x v="0"/>
  </r>
  <r>
    <x v="1"/>
    <x v="0"/>
    <x v="1"/>
    <x v="6"/>
    <x v="6"/>
    <n v="49200"/>
    <n v="49515"/>
    <n v="315"/>
    <n v="6.4024390243902435E-3"/>
    <x v="1"/>
  </r>
  <r>
    <x v="2"/>
    <x v="0"/>
    <x v="1"/>
    <x v="6"/>
    <x v="6"/>
    <n v="55200"/>
    <n v="55288"/>
    <n v="88"/>
    <n v="1.5942028985507246E-3"/>
    <x v="1"/>
  </r>
  <r>
    <x v="3"/>
    <x v="1"/>
    <x v="1"/>
    <x v="6"/>
    <x v="6"/>
    <n v="57000"/>
    <n v="56898"/>
    <n v="-102"/>
    <n v="-1.7894736842105263E-3"/>
    <x v="0"/>
  </r>
  <r>
    <x v="4"/>
    <x v="1"/>
    <x v="1"/>
    <x v="6"/>
    <x v="6"/>
    <n v="60000"/>
    <n v="60270"/>
    <n v="270"/>
    <n v="4.4999999999999997E-3"/>
    <x v="1"/>
  </r>
  <r>
    <x v="5"/>
    <x v="1"/>
    <x v="1"/>
    <x v="6"/>
    <x v="6"/>
    <n v="61200"/>
    <n v="61613"/>
    <n v="413"/>
    <n v="6.7483660130718956E-3"/>
    <x v="1"/>
  </r>
  <r>
    <x v="6"/>
    <x v="2"/>
    <x v="1"/>
    <x v="6"/>
    <x v="6"/>
    <n v="52800"/>
    <n v="52881"/>
    <n v="81"/>
    <n v="1.534090909090909E-3"/>
    <x v="1"/>
  </r>
  <r>
    <x v="7"/>
    <x v="2"/>
    <x v="1"/>
    <x v="6"/>
    <x v="6"/>
    <n v="51000"/>
    <n v="50913"/>
    <n v="-87"/>
    <n v="-1.7058823529411764E-3"/>
    <x v="0"/>
  </r>
  <r>
    <x v="8"/>
    <x v="2"/>
    <x v="1"/>
    <x v="6"/>
    <x v="6"/>
    <n v="60000"/>
    <n v="59877"/>
    <n v="-123"/>
    <n v="-2.0500000000000002E-3"/>
    <x v="0"/>
  </r>
  <r>
    <x v="9"/>
    <x v="3"/>
    <x v="1"/>
    <x v="6"/>
    <x v="6"/>
    <n v="63000"/>
    <n v="62690"/>
    <n v="-310"/>
    <n v="-4.9206349206349208E-3"/>
    <x v="0"/>
  </r>
  <r>
    <x v="10"/>
    <x v="3"/>
    <x v="1"/>
    <x v="6"/>
    <x v="6"/>
    <n v="64800"/>
    <n v="64246"/>
    <n v="-554"/>
    <n v="-8.5493827160493824E-3"/>
    <x v="0"/>
  </r>
  <r>
    <x v="11"/>
    <x v="3"/>
    <x v="1"/>
    <x v="6"/>
    <x v="6"/>
    <n v="94800"/>
    <n v="93912"/>
    <n v="-888"/>
    <n v="-9.367088607594937E-3"/>
    <x v="0"/>
  </r>
  <r>
    <x v="0"/>
    <x v="0"/>
    <x v="1"/>
    <x v="30"/>
    <x v="6"/>
    <n v="3400"/>
    <n v="3220"/>
    <n v="-180"/>
    <n v="-5.2941176470588235E-2"/>
    <x v="0"/>
  </r>
  <r>
    <x v="1"/>
    <x v="0"/>
    <x v="1"/>
    <x v="30"/>
    <x v="6"/>
    <n v="3280"/>
    <n v="3314"/>
    <n v="34"/>
    <n v="1.0365853658536586E-2"/>
    <x v="1"/>
  </r>
  <r>
    <x v="2"/>
    <x v="0"/>
    <x v="1"/>
    <x v="30"/>
    <x v="6"/>
    <n v="3680"/>
    <n v="3704"/>
    <n v="24"/>
    <n v="6.5217391304347823E-3"/>
    <x v="1"/>
  </r>
  <r>
    <x v="3"/>
    <x v="1"/>
    <x v="1"/>
    <x v="30"/>
    <x v="6"/>
    <n v="3800"/>
    <n v="3857"/>
    <n v="57"/>
    <n v="1.4999999999999999E-2"/>
    <x v="1"/>
  </r>
  <r>
    <x v="4"/>
    <x v="1"/>
    <x v="1"/>
    <x v="30"/>
    <x v="6"/>
    <n v="4000"/>
    <n v="4213"/>
    <n v="213"/>
    <n v="5.3249999999999999E-2"/>
    <x v="1"/>
  </r>
  <r>
    <x v="5"/>
    <x v="1"/>
    <x v="1"/>
    <x v="30"/>
    <x v="6"/>
    <n v="4080"/>
    <n v="3996"/>
    <n v="-84"/>
    <n v="-2.0588235294117647E-2"/>
    <x v="0"/>
  </r>
  <r>
    <x v="6"/>
    <x v="2"/>
    <x v="1"/>
    <x v="30"/>
    <x v="6"/>
    <n v="3520"/>
    <n v="3598"/>
    <n v="78"/>
    <n v="2.215909090909091E-2"/>
    <x v="1"/>
  </r>
  <r>
    <x v="7"/>
    <x v="2"/>
    <x v="1"/>
    <x v="30"/>
    <x v="6"/>
    <n v="3400"/>
    <n v="3245"/>
    <n v="-155"/>
    <n v="-4.5588235294117645E-2"/>
    <x v="0"/>
  </r>
  <r>
    <x v="8"/>
    <x v="2"/>
    <x v="1"/>
    <x v="30"/>
    <x v="6"/>
    <n v="4000"/>
    <n v="4252"/>
    <n v="252"/>
    <n v="6.3E-2"/>
    <x v="1"/>
  </r>
  <r>
    <x v="9"/>
    <x v="3"/>
    <x v="1"/>
    <x v="30"/>
    <x v="6"/>
    <n v="4200"/>
    <n v="4333"/>
    <n v="133"/>
    <n v="3.1666666666666669E-2"/>
    <x v="1"/>
  </r>
  <r>
    <x v="10"/>
    <x v="3"/>
    <x v="1"/>
    <x v="30"/>
    <x v="6"/>
    <n v="4320"/>
    <n v="4436"/>
    <n v="116"/>
    <n v="2.6851851851851852E-2"/>
    <x v="1"/>
  </r>
  <r>
    <x v="11"/>
    <x v="3"/>
    <x v="1"/>
    <x v="30"/>
    <x v="6"/>
    <n v="6320"/>
    <n v="6379"/>
    <n v="59"/>
    <n v="9.335443037974683E-3"/>
    <x v="1"/>
  </r>
  <r>
    <x v="0"/>
    <x v="0"/>
    <x v="1"/>
    <x v="11"/>
    <x v="6"/>
    <n v="2125"/>
    <n v="2042"/>
    <n v="-83"/>
    <n v="-3.9058823529411764E-2"/>
    <x v="0"/>
  </r>
  <r>
    <x v="1"/>
    <x v="0"/>
    <x v="1"/>
    <x v="11"/>
    <x v="6"/>
    <n v="2050"/>
    <n v="2016"/>
    <n v="-34"/>
    <n v="-1.6585365853658537E-2"/>
    <x v="0"/>
  </r>
  <r>
    <x v="2"/>
    <x v="0"/>
    <x v="1"/>
    <x v="11"/>
    <x v="6"/>
    <n v="2300"/>
    <n v="2358"/>
    <n v="58"/>
    <n v="2.5217391304347827E-2"/>
    <x v="1"/>
  </r>
  <r>
    <x v="3"/>
    <x v="1"/>
    <x v="1"/>
    <x v="11"/>
    <x v="6"/>
    <n v="2375"/>
    <n v="2373"/>
    <n v="-2"/>
    <n v="-8.4210526315789478E-4"/>
    <x v="0"/>
  </r>
  <r>
    <x v="4"/>
    <x v="1"/>
    <x v="1"/>
    <x v="11"/>
    <x v="6"/>
    <n v="2500"/>
    <n v="2515"/>
    <n v="15"/>
    <n v="6.0000000000000001E-3"/>
    <x v="1"/>
  </r>
  <r>
    <x v="5"/>
    <x v="1"/>
    <x v="1"/>
    <x v="11"/>
    <x v="6"/>
    <n v="2550"/>
    <n v="2377"/>
    <n v="-173"/>
    <n v="-6.7843137254901958E-2"/>
    <x v="0"/>
  </r>
  <r>
    <x v="6"/>
    <x v="2"/>
    <x v="1"/>
    <x v="11"/>
    <x v="6"/>
    <n v="2200"/>
    <n v="2220"/>
    <n v="20"/>
    <n v="9.0909090909090905E-3"/>
    <x v="1"/>
  </r>
  <r>
    <x v="7"/>
    <x v="2"/>
    <x v="1"/>
    <x v="11"/>
    <x v="6"/>
    <n v="2125"/>
    <n v="2051"/>
    <n v="-74"/>
    <n v="-3.4823529411764705E-2"/>
    <x v="0"/>
  </r>
  <r>
    <x v="8"/>
    <x v="2"/>
    <x v="1"/>
    <x v="11"/>
    <x v="6"/>
    <n v="2500"/>
    <n v="2365"/>
    <n v="-135"/>
    <n v="-5.3999999999999999E-2"/>
    <x v="0"/>
  </r>
  <r>
    <x v="9"/>
    <x v="3"/>
    <x v="1"/>
    <x v="11"/>
    <x v="6"/>
    <n v="2625"/>
    <n v="2605"/>
    <n v="-20"/>
    <n v="-7.619047619047619E-3"/>
    <x v="0"/>
  </r>
  <r>
    <x v="10"/>
    <x v="3"/>
    <x v="1"/>
    <x v="11"/>
    <x v="6"/>
    <n v="2700"/>
    <n v="2449"/>
    <n v="-251"/>
    <n v="-9.2962962962962969E-2"/>
    <x v="0"/>
  </r>
  <r>
    <x v="11"/>
    <x v="3"/>
    <x v="1"/>
    <x v="11"/>
    <x v="6"/>
    <n v="3950"/>
    <n v="4088"/>
    <n v="138"/>
    <n v="3.4936708860759495E-2"/>
    <x v="1"/>
  </r>
  <r>
    <x v="0"/>
    <x v="0"/>
    <x v="1"/>
    <x v="9"/>
    <x v="6"/>
    <n v="2833"/>
    <n v="2954"/>
    <n v="121"/>
    <n v="4.2710907165548886E-2"/>
    <x v="1"/>
  </r>
  <r>
    <x v="1"/>
    <x v="0"/>
    <x v="1"/>
    <x v="9"/>
    <x v="6"/>
    <n v="2733"/>
    <n v="2726"/>
    <n v="-7"/>
    <n v="-2.561287961946579E-3"/>
    <x v="0"/>
  </r>
  <r>
    <x v="2"/>
    <x v="0"/>
    <x v="1"/>
    <x v="9"/>
    <x v="6"/>
    <n v="3067"/>
    <n v="2915"/>
    <n v="-152"/>
    <n v="-4.9559830453211606E-2"/>
    <x v="0"/>
  </r>
  <r>
    <x v="3"/>
    <x v="1"/>
    <x v="1"/>
    <x v="9"/>
    <x v="6"/>
    <n v="3167"/>
    <n v="3017"/>
    <n v="-150"/>
    <n v="-4.7363435427849702E-2"/>
    <x v="0"/>
  </r>
  <r>
    <x v="4"/>
    <x v="1"/>
    <x v="1"/>
    <x v="9"/>
    <x v="6"/>
    <n v="3333"/>
    <n v="3308"/>
    <n v="-25"/>
    <n v="-7.5007500750075007E-3"/>
    <x v="0"/>
  </r>
  <r>
    <x v="5"/>
    <x v="1"/>
    <x v="1"/>
    <x v="9"/>
    <x v="6"/>
    <n v="3400"/>
    <n v="2988"/>
    <n v="-412"/>
    <n v="-0.12117647058823529"/>
    <x v="0"/>
  </r>
  <r>
    <x v="6"/>
    <x v="2"/>
    <x v="1"/>
    <x v="9"/>
    <x v="6"/>
    <n v="2933"/>
    <n v="2959"/>
    <n v="26"/>
    <n v="8.8646437095124438E-3"/>
    <x v="1"/>
  </r>
  <r>
    <x v="7"/>
    <x v="2"/>
    <x v="1"/>
    <x v="9"/>
    <x v="6"/>
    <n v="2833"/>
    <n v="2927"/>
    <n v="94"/>
    <n v="3.3180374161666075E-2"/>
    <x v="1"/>
  </r>
  <r>
    <x v="8"/>
    <x v="2"/>
    <x v="1"/>
    <x v="9"/>
    <x v="6"/>
    <n v="3333"/>
    <n v="3281"/>
    <n v="-52"/>
    <n v="-1.5601560156015602E-2"/>
    <x v="0"/>
  </r>
  <r>
    <x v="9"/>
    <x v="3"/>
    <x v="1"/>
    <x v="9"/>
    <x v="6"/>
    <n v="3500"/>
    <n v="3413"/>
    <n v="-87"/>
    <n v="-2.4857142857142855E-2"/>
    <x v="0"/>
  </r>
  <r>
    <x v="10"/>
    <x v="3"/>
    <x v="1"/>
    <x v="9"/>
    <x v="6"/>
    <n v="3600"/>
    <n v="3633"/>
    <n v="33"/>
    <n v="9.1666666666666667E-3"/>
    <x v="1"/>
  </r>
  <r>
    <x v="11"/>
    <x v="3"/>
    <x v="1"/>
    <x v="9"/>
    <x v="6"/>
    <n v="5267"/>
    <n v="5359"/>
    <n v="92"/>
    <n v="1.7467248908296942E-2"/>
    <x v="1"/>
  </r>
  <r>
    <x v="0"/>
    <x v="0"/>
    <x v="1"/>
    <x v="13"/>
    <x v="6"/>
    <n v="850"/>
    <n v="852"/>
    <n v="2"/>
    <n v="2.352941176470588E-3"/>
    <x v="1"/>
  </r>
  <r>
    <x v="1"/>
    <x v="0"/>
    <x v="1"/>
    <x v="13"/>
    <x v="6"/>
    <n v="820"/>
    <n v="775"/>
    <n v="-45"/>
    <n v="-5.4878048780487805E-2"/>
    <x v="0"/>
  </r>
  <r>
    <x v="2"/>
    <x v="0"/>
    <x v="1"/>
    <x v="13"/>
    <x v="6"/>
    <n v="920"/>
    <n v="1092"/>
    <n v="172"/>
    <n v="0.18695652173913044"/>
    <x v="1"/>
  </r>
  <r>
    <x v="3"/>
    <x v="1"/>
    <x v="1"/>
    <x v="13"/>
    <x v="6"/>
    <n v="950"/>
    <n v="830"/>
    <n v="-120"/>
    <n v="-0.12631578947368421"/>
    <x v="0"/>
  </r>
  <r>
    <x v="4"/>
    <x v="1"/>
    <x v="1"/>
    <x v="13"/>
    <x v="6"/>
    <n v="1000"/>
    <n v="748"/>
    <n v="-252"/>
    <n v="-0.252"/>
    <x v="0"/>
  </r>
  <r>
    <x v="5"/>
    <x v="1"/>
    <x v="1"/>
    <x v="13"/>
    <x v="6"/>
    <n v="1020"/>
    <n v="853"/>
    <n v="-167"/>
    <n v="-0.16372549019607843"/>
    <x v="0"/>
  </r>
  <r>
    <x v="6"/>
    <x v="2"/>
    <x v="1"/>
    <x v="13"/>
    <x v="6"/>
    <n v="880"/>
    <n v="671"/>
    <n v="-209"/>
    <n v="-0.23749999999999999"/>
    <x v="0"/>
  </r>
  <r>
    <x v="7"/>
    <x v="2"/>
    <x v="1"/>
    <x v="13"/>
    <x v="6"/>
    <n v="850"/>
    <n v="908"/>
    <n v="58"/>
    <n v="6.8235294117647061E-2"/>
    <x v="1"/>
  </r>
  <r>
    <x v="8"/>
    <x v="2"/>
    <x v="1"/>
    <x v="13"/>
    <x v="6"/>
    <n v="1000"/>
    <n v="790"/>
    <n v="-210"/>
    <n v="-0.21"/>
    <x v="0"/>
  </r>
  <r>
    <x v="9"/>
    <x v="3"/>
    <x v="1"/>
    <x v="13"/>
    <x v="6"/>
    <n v="1050"/>
    <n v="1007"/>
    <n v="-43"/>
    <n v="-4.0952380952380955E-2"/>
    <x v="0"/>
  </r>
  <r>
    <x v="10"/>
    <x v="3"/>
    <x v="1"/>
    <x v="13"/>
    <x v="6"/>
    <n v="1080"/>
    <n v="1176"/>
    <n v="96"/>
    <n v="8.8888888888888892E-2"/>
    <x v="1"/>
  </r>
  <r>
    <x v="11"/>
    <x v="3"/>
    <x v="1"/>
    <x v="13"/>
    <x v="6"/>
    <n v="1580"/>
    <n v="1334"/>
    <n v="-246"/>
    <n v="-0.15569620253164557"/>
    <x v="0"/>
  </r>
  <r>
    <x v="0"/>
    <x v="0"/>
    <x v="1"/>
    <x v="6"/>
    <x v="7"/>
    <n v="113333"/>
    <n v="113900"/>
    <n v="567"/>
    <n v="5.002955891046738E-3"/>
    <x v="1"/>
  </r>
  <r>
    <x v="1"/>
    <x v="0"/>
    <x v="1"/>
    <x v="6"/>
    <x v="7"/>
    <n v="109333"/>
    <n v="107761"/>
    <n v="-1572"/>
    <n v="-1.4378092616136024E-2"/>
    <x v="0"/>
  </r>
  <r>
    <x v="2"/>
    <x v="0"/>
    <x v="1"/>
    <x v="6"/>
    <x v="7"/>
    <n v="122667"/>
    <n v="122158"/>
    <n v="-509"/>
    <n v="-4.1494452460727011E-3"/>
    <x v="0"/>
  </r>
  <r>
    <x v="3"/>
    <x v="1"/>
    <x v="1"/>
    <x v="6"/>
    <x v="7"/>
    <n v="126667"/>
    <n v="126687"/>
    <n v="20"/>
    <n v="1.5789432133073335E-4"/>
    <x v="1"/>
  </r>
  <r>
    <x v="4"/>
    <x v="1"/>
    <x v="1"/>
    <x v="6"/>
    <x v="7"/>
    <n v="133333"/>
    <n v="133684"/>
    <n v="351"/>
    <n v="2.6325065812664531E-3"/>
    <x v="1"/>
  </r>
  <r>
    <x v="5"/>
    <x v="1"/>
    <x v="1"/>
    <x v="6"/>
    <x v="7"/>
    <n v="136000"/>
    <n v="136928"/>
    <n v="928"/>
    <n v="6.8235294117647057E-3"/>
    <x v="1"/>
  </r>
  <r>
    <x v="6"/>
    <x v="2"/>
    <x v="1"/>
    <x v="6"/>
    <x v="7"/>
    <n v="117333"/>
    <n v="118961"/>
    <n v="1628"/>
    <n v="1.3875039417725618E-2"/>
    <x v="1"/>
  </r>
  <r>
    <x v="7"/>
    <x v="2"/>
    <x v="1"/>
    <x v="6"/>
    <x v="7"/>
    <n v="113333"/>
    <n v="112061"/>
    <n v="-1272"/>
    <n v="-1.1223562422242418E-2"/>
    <x v="0"/>
  </r>
  <r>
    <x v="8"/>
    <x v="2"/>
    <x v="1"/>
    <x v="6"/>
    <x v="7"/>
    <n v="133333"/>
    <n v="131735"/>
    <n v="-1598"/>
    <n v="-1.1985029962574906E-2"/>
    <x v="0"/>
  </r>
  <r>
    <x v="9"/>
    <x v="3"/>
    <x v="1"/>
    <x v="6"/>
    <x v="7"/>
    <n v="140000"/>
    <n v="139020"/>
    <n v="-980"/>
    <n v="-7.0000000000000001E-3"/>
    <x v="0"/>
  </r>
  <r>
    <x v="10"/>
    <x v="3"/>
    <x v="1"/>
    <x v="6"/>
    <x v="7"/>
    <n v="144000"/>
    <n v="144605"/>
    <n v="605"/>
    <n v="4.2013888888888891E-3"/>
    <x v="1"/>
  </r>
  <r>
    <x v="11"/>
    <x v="3"/>
    <x v="1"/>
    <x v="6"/>
    <x v="7"/>
    <n v="210667"/>
    <n v="211231"/>
    <n v="564"/>
    <n v="2.6772109537801362E-3"/>
    <x v="1"/>
  </r>
  <r>
    <x v="0"/>
    <x v="0"/>
    <x v="1"/>
    <x v="31"/>
    <x v="7"/>
    <n v="14167"/>
    <n v="14554"/>
    <n v="387"/>
    <n v="2.7317004305781042E-2"/>
    <x v="1"/>
  </r>
  <r>
    <x v="1"/>
    <x v="0"/>
    <x v="1"/>
    <x v="31"/>
    <x v="7"/>
    <n v="13667"/>
    <n v="13449"/>
    <n v="-218"/>
    <n v="-1.5950830467549571E-2"/>
    <x v="0"/>
  </r>
  <r>
    <x v="2"/>
    <x v="0"/>
    <x v="1"/>
    <x v="31"/>
    <x v="7"/>
    <n v="15333"/>
    <n v="14398"/>
    <n v="-935"/>
    <n v="-6.0979586512750275E-2"/>
    <x v="0"/>
  </r>
  <r>
    <x v="3"/>
    <x v="1"/>
    <x v="1"/>
    <x v="31"/>
    <x v="7"/>
    <n v="15833"/>
    <n v="15259"/>
    <n v="-574"/>
    <n v="-3.6253394808311752E-2"/>
    <x v="0"/>
  </r>
  <r>
    <x v="4"/>
    <x v="1"/>
    <x v="1"/>
    <x v="31"/>
    <x v="7"/>
    <n v="16667"/>
    <n v="16303"/>
    <n v="-364"/>
    <n v="-2.1839563208735827E-2"/>
    <x v="0"/>
  </r>
  <r>
    <x v="5"/>
    <x v="1"/>
    <x v="1"/>
    <x v="31"/>
    <x v="7"/>
    <n v="17000"/>
    <n v="17019"/>
    <n v="19"/>
    <n v="1.1176470588235294E-3"/>
    <x v="1"/>
  </r>
  <r>
    <x v="6"/>
    <x v="2"/>
    <x v="1"/>
    <x v="31"/>
    <x v="7"/>
    <n v="14667"/>
    <n v="14872"/>
    <n v="205"/>
    <n v="1.3976955069202972E-2"/>
    <x v="1"/>
  </r>
  <r>
    <x v="7"/>
    <x v="2"/>
    <x v="1"/>
    <x v="31"/>
    <x v="7"/>
    <n v="14167"/>
    <n v="15254"/>
    <n v="1087"/>
    <n v="7.6727606409260962E-2"/>
    <x v="1"/>
  </r>
  <r>
    <x v="8"/>
    <x v="2"/>
    <x v="1"/>
    <x v="31"/>
    <x v="7"/>
    <n v="16667"/>
    <n v="16542"/>
    <n v="-125"/>
    <n v="-7.4998500029999403E-3"/>
    <x v="0"/>
  </r>
  <r>
    <x v="9"/>
    <x v="3"/>
    <x v="1"/>
    <x v="31"/>
    <x v="7"/>
    <n v="17500"/>
    <n v="16685"/>
    <n v="-815"/>
    <n v="-4.6571428571428569E-2"/>
    <x v="0"/>
  </r>
  <r>
    <x v="10"/>
    <x v="3"/>
    <x v="1"/>
    <x v="31"/>
    <x v="7"/>
    <n v="18000"/>
    <n v="18055"/>
    <n v="55"/>
    <n v="3.0555555555555557E-3"/>
    <x v="1"/>
  </r>
  <r>
    <x v="11"/>
    <x v="3"/>
    <x v="1"/>
    <x v="31"/>
    <x v="7"/>
    <n v="26333"/>
    <n v="29162"/>
    <n v="2829"/>
    <n v="0.10743173964227395"/>
    <x v="1"/>
  </r>
  <r>
    <x v="0"/>
    <x v="0"/>
    <x v="1"/>
    <x v="32"/>
    <x v="7"/>
    <n v="5667"/>
    <n v="5505"/>
    <n v="-162"/>
    <n v="-2.8586553732133403E-2"/>
    <x v="0"/>
  </r>
  <r>
    <x v="1"/>
    <x v="0"/>
    <x v="1"/>
    <x v="32"/>
    <x v="7"/>
    <n v="5467"/>
    <n v="6107"/>
    <n v="640"/>
    <n v="0.1170660325589903"/>
    <x v="1"/>
  </r>
  <r>
    <x v="2"/>
    <x v="0"/>
    <x v="1"/>
    <x v="32"/>
    <x v="7"/>
    <n v="6133"/>
    <n v="6284"/>
    <n v="151"/>
    <n v="2.46209033099625E-2"/>
    <x v="1"/>
  </r>
  <r>
    <x v="3"/>
    <x v="1"/>
    <x v="1"/>
    <x v="32"/>
    <x v="7"/>
    <n v="6333"/>
    <n v="5964"/>
    <n v="-369"/>
    <n v="-5.8266224538133585E-2"/>
    <x v="0"/>
  </r>
  <r>
    <x v="4"/>
    <x v="1"/>
    <x v="1"/>
    <x v="32"/>
    <x v="7"/>
    <n v="6667"/>
    <n v="6389"/>
    <n v="-278"/>
    <n v="-4.1697915104244788E-2"/>
    <x v="0"/>
  </r>
  <r>
    <x v="5"/>
    <x v="1"/>
    <x v="1"/>
    <x v="32"/>
    <x v="7"/>
    <n v="6800"/>
    <n v="6883"/>
    <n v="83"/>
    <n v="1.2205882352941176E-2"/>
    <x v="1"/>
  </r>
  <r>
    <x v="6"/>
    <x v="2"/>
    <x v="1"/>
    <x v="32"/>
    <x v="7"/>
    <n v="5867"/>
    <n v="5756"/>
    <n v="-111"/>
    <n v="-1.8919379580705643E-2"/>
    <x v="0"/>
  </r>
  <r>
    <x v="7"/>
    <x v="2"/>
    <x v="1"/>
    <x v="32"/>
    <x v="7"/>
    <n v="5667"/>
    <n v="6567"/>
    <n v="900"/>
    <n v="0.15881418740074113"/>
    <x v="1"/>
  </r>
  <r>
    <x v="8"/>
    <x v="2"/>
    <x v="1"/>
    <x v="32"/>
    <x v="7"/>
    <n v="6667"/>
    <n v="6603"/>
    <n v="-64"/>
    <n v="-9.5995200239987998E-3"/>
    <x v="0"/>
  </r>
  <r>
    <x v="9"/>
    <x v="3"/>
    <x v="1"/>
    <x v="32"/>
    <x v="7"/>
    <n v="7000"/>
    <n v="7518"/>
    <n v="518"/>
    <n v="7.3999999999999996E-2"/>
    <x v="1"/>
  </r>
  <r>
    <x v="10"/>
    <x v="3"/>
    <x v="1"/>
    <x v="32"/>
    <x v="7"/>
    <n v="7200"/>
    <n v="8014"/>
    <n v="814"/>
    <n v="0.11305555555555556"/>
    <x v="1"/>
  </r>
  <r>
    <x v="11"/>
    <x v="3"/>
    <x v="1"/>
    <x v="32"/>
    <x v="7"/>
    <n v="10533"/>
    <n v="10897"/>
    <n v="364"/>
    <n v="3.4558055634671986E-2"/>
    <x v="1"/>
  </r>
  <r>
    <x v="0"/>
    <x v="0"/>
    <x v="1"/>
    <x v="33"/>
    <x v="7"/>
    <n v="8500"/>
    <n v="8077"/>
    <n v="-423"/>
    <n v="-4.976470588235294E-2"/>
    <x v="0"/>
  </r>
  <r>
    <x v="1"/>
    <x v="0"/>
    <x v="1"/>
    <x v="33"/>
    <x v="7"/>
    <n v="8200"/>
    <n v="8088"/>
    <n v="-112"/>
    <n v="-1.3658536585365854E-2"/>
    <x v="0"/>
  </r>
  <r>
    <x v="2"/>
    <x v="0"/>
    <x v="1"/>
    <x v="33"/>
    <x v="7"/>
    <n v="9200"/>
    <n v="9367"/>
    <n v="167"/>
    <n v="1.8152173913043478E-2"/>
    <x v="1"/>
  </r>
  <r>
    <x v="3"/>
    <x v="1"/>
    <x v="1"/>
    <x v="33"/>
    <x v="7"/>
    <n v="9500"/>
    <n v="9916"/>
    <n v="416"/>
    <n v="4.3789473684210524E-2"/>
    <x v="1"/>
  </r>
  <r>
    <x v="4"/>
    <x v="1"/>
    <x v="1"/>
    <x v="33"/>
    <x v="7"/>
    <n v="10000"/>
    <n v="10028"/>
    <n v="28"/>
    <n v="2.8E-3"/>
    <x v="1"/>
  </r>
  <r>
    <x v="5"/>
    <x v="1"/>
    <x v="1"/>
    <x v="33"/>
    <x v="7"/>
    <n v="10200"/>
    <n v="9486"/>
    <n v="-714"/>
    <n v="-7.0000000000000007E-2"/>
    <x v="0"/>
  </r>
  <r>
    <x v="6"/>
    <x v="2"/>
    <x v="1"/>
    <x v="33"/>
    <x v="7"/>
    <n v="8800"/>
    <n v="9171"/>
    <n v="371"/>
    <n v="4.215909090909091E-2"/>
    <x v="1"/>
  </r>
  <r>
    <x v="7"/>
    <x v="2"/>
    <x v="1"/>
    <x v="33"/>
    <x v="7"/>
    <n v="8500"/>
    <n v="8554"/>
    <n v="54"/>
    <n v="6.3529411764705881E-3"/>
    <x v="1"/>
  </r>
  <r>
    <x v="8"/>
    <x v="2"/>
    <x v="1"/>
    <x v="33"/>
    <x v="7"/>
    <n v="10000"/>
    <n v="9308"/>
    <n v="-692"/>
    <n v="-6.9199999999999998E-2"/>
    <x v="0"/>
  </r>
  <r>
    <x v="9"/>
    <x v="3"/>
    <x v="1"/>
    <x v="33"/>
    <x v="7"/>
    <n v="10500"/>
    <n v="10554"/>
    <n v="54"/>
    <n v="5.1428571428571426E-3"/>
    <x v="1"/>
  </r>
  <r>
    <x v="10"/>
    <x v="3"/>
    <x v="1"/>
    <x v="33"/>
    <x v="7"/>
    <n v="10800"/>
    <n v="10458"/>
    <n v="-342"/>
    <n v="-3.1666666666666669E-2"/>
    <x v="0"/>
  </r>
  <r>
    <x v="11"/>
    <x v="3"/>
    <x v="1"/>
    <x v="33"/>
    <x v="7"/>
    <n v="15800"/>
    <n v="16896"/>
    <n v="1096"/>
    <n v="6.936708860759494E-2"/>
    <x v="1"/>
  </r>
  <r>
    <x v="0"/>
    <x v="0"/>
    <x v="1"/>
    <x v="34"/>
    <x v="7"/>
    <n v="10625"/>
    <n v="11658"/>
    <n v="1033"/>
    <n v="9.7223529411764709E-2"/>
    <x v="1"/>
  </r>
  <r>
    <x v="1"/>
    <x v="0"/>
    <x v="1"/>
    <x v="34"/>
    <x v="7"/>
    <n v="10250"/>
    <n v="11203"/>
    <n v="953"/>
    <n v="9.297560975609756E-2"/>
    <x v="1"/>
  </r>
  <r>
    <x v="2"/>
    <x v="0"/>
    <x v="1"/>
    <x v="34"/>
    <x v="7"/>
    <n v="11500"/>
    <n v="11170"/>
    <n v="-330"/>
    <n v="-2.8695652173913042E-2"/>
    <x v="0"/>
  </r>
  <r>
    <x v="3"/>
    <x v="1"/>
    <x v="1"/>
    <x v="34"/>
    <x v="7"/>
    <n v="11875"/>
    <n v="11597"/>
    <n v="-278"/>
    <n v="-2.3410526315789475E-2"/>
    <x v="0"/>
  </r>
  <r>
    <x v="4"/>
    <x v="1"/>
    <x v="1"/>
    <x v="34"/>
    <x v="7"/>
    <n v="12500"/>
    <n v="12930"/>
    <n v="430"/>
    <n v="3.44E-2"/>
    <x v="1"/>
  </r>
  <r>
    <x v="5"/>
    <x v="1"/>
    <x v="1"/>
    <x v="34"/>
    <x v="7"/>
    <n v="12750"/>
    <n v="13427"/>
    <n v="677"/>
    <n v="5.3098039215686274E-2"/>
    <x v="1"/>
  </r>
  <r>
    <x v="6"/>
    <x v="2"/>
    <x v="1"/>
    <x v="34"/>
    <x v="7"/>
    <n v="11000"/>
    <n v="11210"/>
    <n v="210"/>
    <n v="1.9090909090909092E-2"/>
    <x v="1"/>
  </r>
  <r>
    <x v="7"/>
    <x v="2"/>
    <x v="1"/>
    <x v="34"/>
    <x v="7"/>
    <n v="10625"/>
    <n v="10974"/>
    <n v="349"/>
    <n v="3.284705882352941E-2"/>
    <x v="1"/>
  </r>
  <r>
    <x v="8"/>
    <x v="2"/>
    <x v="1"/>
    <x v="34"/>
    <x v="7"/>
    <n v="12500"/>
    <n v="14379"/>
    <n v="1879"/>
    <n v="0.15032000000000001"/>
    <x v="1"/>
  </r>
  <r>
    <x v="9"/>
    <x v="3"/>
    <x v="1"/>
    <x v="34"/>
    <x v="7"/>
    <n v="13125"/>
    <n v="13579"/>
    <n v="454"/>
    <n v="3.4590476190476192E-2"/>
    <x v="1"/>
  </r>
  <r>
    <x v="10"/>
    <x v="3"/>
    <x v="1"/>
    <x v="34"/>
    <x v="7"/>
    <n v="13500"/>
    <n v="13712"/>
    <n v="212"/>
    <n v="1.5703703703703702E-2"/>
    <x v="1"/>
  </r>
  <r>
    <x v="11"/>
    <x v="3"/>
    <x v="1"/>
    <x v="34"/>
    <x v="7"/>
    <n v="19750"/>
    <n v="20658"/>
    <n v="908"/>
    <n v="4.5974683544303799E-2"/>
    <x v="1"/>
  </r>
  <r>
    <x v="0"/>
    <x v="0"/>
    <x v="1"/>
    <x v="13"/>
    <x v="7"/>
    <n v="1771"/>
    <n v="1554"/>
    <n v="-217"/>
    <n v="-0.1225296442687747"/>
    <x v="0"/>
  </r>
  <r>
    <x v="1"/>
    <x v="0"/>
    <x v="1"/>
    <x v="13"/>
    <x v="7"/>
    <n v="1708"/>
    <n v="1469"/>
    <n v="-239"/>
    <n v="-0.13992974238875877"/>
    <x v="0"/>
  </r>
  <r>
    <x v="2"/>
    <x v="0"/>
    <x v="1"/>
    <x v="13"/>
    <x v="7"/>
    <n v="1917"/>
    <n v="2349"/>
    <n v="432"/>
    <n v="0.22535211267605634"/>
    <x v="1"/>
  </r>
  <r>
    <x v="3"/>
    <x v="1"/>
    <x v="1"/>
    <x v="13"/>
    <x v="7"/>
    <n v="1979"/>
    <n v="1957"/>
    <n v="-22"/>
    <n v="-1.1116725618999495E-2"/>
    <x v="0"/>
  </r>
  <r>
    <x v="4"/>
    <x v="1"/>
    <x v="1"/>
    <x v="13"/>
    <x v="7"/>
    <n v="2083"/>
    <n v="2005"/>
    <n v="-78"/>
    <n v="-3.7445991358617377E-2"/>
    <x v="0"/>
  </r>
  <r>
    <x v="5"/>
    <x v="1"/>
    <x v="1"/>
    <x v="13"/>
    <x v="7"/>
    <n v="2125"/>
    <n v="1982"/>
    <n v="-143"/>
    <n v="-6.7294117647058824E-2"/>
    <x v="0"/>
  </r>
  <r>
    <x v="6"/>
    <x v="2"/>
    <x v="1"/>
    <x v="13"/>
    <x v="7"/>
    <n v="1833"/>
    <n v="1531"/>
    <n v="-302"/>
    <n v="-0.16475722858701583"/>
    <x v="0"/>
  </r>
  <r>
    <x v="7"/>
    <x v="2"/>
    <x v="1"/>
    <x v="13"/>
    <x v="7"/>
    <n v="1771"/>
    <n v="2141"/>
    <n v="370"/>
    <n v="0.20892151326933936"/>
    <x v="1"/>
  </r>
  <r>
    <x v="8"/>
    <x v="2"/>
    <x v="1"/>
    <x v="13"/>
    <x v="7"/>
    <n v="2083"/>
    <n v="2380"/>
    <n v="297"/>
    <n v="0.14258281325012001"/>
    <x v="1"/>
  </r>
  <r>
    <x v="9"/>
    <x v="3"/>
    <x v="1"/>
    <x v="13"/>
    <x v="7"/>
    <n v="2188"/>
    <n v="2164"/>
    <n v="-24"/>
    <n v="-1.0968921389396709E-2"/>
    <x v="0"/>
  </r>
  <r>
    <x v="10"/>
    <x v="3"/>
    <x v="1"/>
    <x v="13"/>
    <x v="7"/>
    <n v="2250"/>
    <n v="2473"/>
    <n v="223"/>
    <n v="9.9111111111111108E-2"/>
    <x v="1"/>
  </r>
  <r>
    <x v="11"/>
    <x v="3"/>
    <x v="1"/>
    <x v="13"/>
    <x v="7"/>
    <n v="3292"/>
    <n v="2534"/>
    <n v="-758"/>
    <n v="-0.23025516403402188"/>
    <x v="0"/>
  </r>
  <r>
    <x v="0"/>
    <x v="0"/>
    <x v="1"/>
    <x v="6"/>
    <x v="8"/>
    <n v="41083"/>
    <n v="41098"/>
    <n v="15"/>
    <n v="3.651145242557749E-4"/>
    <x v="1"/>
  </r>
  <r>
    <x v="1"/>
    <x v="0"/>
    <x v="1"/>
    <x v="6"/>
    <x v="8"/>
    <n v="39633"/>
    <n v="39545"/>
    <n v="-88"/>
    <n v="-2.2203719122953097E-3"/>
    <x v="0"/>
  </r>
  <r>
    <x v="2"/>
    <x v="0"/>
    <x v="1"/>
    <x v="6"/>
    <x v="8"/>
    <n v="44467"/>
    <n v="44289"/>
    <n v="-178"/>
    <n v="-4.0029684934895539E-3"/>
    <x v="0"/>
  </r>
  <r>
    <x v="3"/>
    <x v="1"/>
    <x v="1"/>
    <x v="6"/>
    <x v="8"/>
    <n v="45917"/>
    <n v="46029"/>
    <n v="112"/>
    <n v="2.4391837445826166E-3"/>
    <x v="1"/>
  </r>
  <r>
    <x v="4"/>
    <x v="1"/>
    <x v="1"/>
    <x v="6"/>
    <x v="8"/>
    <n v="48333"/>
    <n v="49026"/>
    <n v="693"/>
    <n v="1.4338029917447707E-2"/>
    <x v="1"/>
  </r>
  <r>
    <x v="5"/>
    <x v="1"/>
    <x v="1"/>
    <x v="6"/>
    <x v="8"/>
    <n v="49300"/>
    <n v="49143"/>
    <n v="-157"/>
    <n v="-3.1845841784989858E-3"/>
    <x v="0"/>
  </r>
  <r>
    <x v="6"/>
    <x v="2"/>
    <x v="1"/>
    <x v="6"/>
    <x v="8"/>
    <n v="42533"/>
    <n v="42408"/>
    <n v="-125"/>
    <n v="-2.9388945054428326E-3"/>
    <x v="0"/>
  </r>
  <r>
    <x v="7"/>
    <x v="2"/>
    <x v="1"/>
    <x v="6"/>
    <x v="8"/>
    <n v="41083"/>
    <n v="40441"/>
    <n v="-642"/>
    <n v="-1.5626901638147166E-2"/>
    <x v="0"/>
  </r>
  <r>
    <x v="8"/>
    <x v="2"/>
    <x v="1"/>
    <x v="6"/>
    <x v="8"/>
    <n v="48333"/>
    <n v="47891"/>
    <n v="-442"/>
    <n v="-9.144890654418307E-3"/>
    <x v="0"/>
  </r>
  <r>
    <x v="9"/>
    <x v="3"/>
    <x v="1"/>
    <x v="6"/>
    <x v="8"/>
    <n v="50750"/>
    <n v="49944"/>
    <n v="-806"/>
    <n v="-1.5881773399014778E-2"/>
    <x v="0"/>
  </r>
  <r>
    <x v="10"/>
    <x v="3"/>
    <x v="1"/>
    <x v="6"/>
    <x v="8"/>
    <n v="52200"/>
    <n v="52127"/>
    <n v="-73"/>
    <n v="-1.3984674329501916E-3"/>
    <x v="0"/>
  </r>
  <r>
    <x v="11"/>
    <x v="3"/>
    <x v="1"/>
    <x v="6"/>
    <x v="8"/>
    <n v="76367"/>
    <n v="76575"/>
    <n v="208"/>
    <n v="2.7236895517697437E-3"/>
    <x v="1"/>
  </r>
  <r>
    <x v="0"/>
    <x v="0"/>
    <x v="1"/>
    <x v="35"/>
    <x v="8"/>
    <n v="22667"/>
    <n v="20736"/>
    <n v="-1931"/>
    <n v="-8.5189923677592982E-2"/>
    <x v="0"/>
  </r>
  <r>
    <x v="1"/>
    <x v="0"/>
    <x v="1"/>
    <x v="35"/>
    <x v="8"/>
    <n v="21867"/>
    <n v="20682"/>
    <n v="-1185"/>
    <n v="-5.4191247084648099E-2"/>
    <x v="0"/>
  </r>
  <r>
    <x v="2"/>
    <x v="0"/>
    <x v="1"/>
    <x v="35"/>
    <x v="8"/>
    <n v="24533"/>
    <n v="25463"/>
    <n v="930"/>
    <n v="3.7908123751681407E-2"/>
    <x v="1"/>
  </r>
  <r>
    <x v="3"/>
    <x v="1"/>
    <x v="1"/>
    <x v="35"/>
    <x v="8"/>
    <n v="25333"/>
    <n v="24363"/>
    <n v="-970"/>
    <n v="-3.8289977499703941E-2"/>
    <x v="0"/>
  </r>
  <r>
    <x v="4"/>
    <x v="1"/>
    <x v="1"/>
    <x v="35"/>
    <x v="8"/>
    <n v="26667"/>
    <n v="25213"/>
    <n v="-1454"/>
    <n v="-5.4524318446019425E-2"/>
    <x v="0"/>
  </r>
  <r>
    <x v="5"/>
    <x v="1"/>
    <x v="1"/>
    <x v="35"/>
    <x v="8"/>
    <n v="27200"/>
    <n v="26956"/>
    <n v="-244"/>
    <n v="-8.9705882352941173E-3"/>
    <x v="0"/>
  </r>
  <r>
    <x v="6"/>
    <x v="2"/>
    <x v="1"/>
    <x v="35"/>
    <x v="8"/>
    <n v="23467"/>
    <n v="23259"/>
    <n v="-208"/>
    <n v="-8.8635104614991269E-3"/>
    <x v="0"/>
  </r>
  <r>
    <x v="7"/>
    <x v="2"/>
    <x v="1"/>
    <x v="35"/>
    <x v="8"/>
    <n v="22667"/>
    <n v="21520"/>
    <n v="-1147"/>
    <n v="-5.0602197026514313E-2"/>
    <x v="0"/>
  </r>
  <r>
    <x v="8"/>
    <x v="2"/>
    <x v="1"/>
    <x v="35"/>
    <x v="8"/>
    <n v="26667"/>
    <n v="26232"/>
    <n v="-435"/>
    <n v="-1.6312296096298796E-2"/>
    <x v="0"/>
  </r>
  <r>
    <x v="9"/>
    <x v="3"/>
    <x v="1"/>
    <x v="35"/>
    <x v="8"/>
    <n v="28000"/>
    <n v="27330"/>
    <n v="-670"/>
    <n v="-2.3928571428571428E-2"/>
    <x v="0"/>
  </r>
  <r>
    <x v="10"/>
    <x v="3"/>
    <x v="1"/>
    <x v="35"/>
    <x v="8"/>
    <n v="28800"/>
    <n v="25070"/>
    <n v="-3730"/>
    <n v="-0.1295138888888889"/>
    <x v="0"/>
  </r>
  <r>
    <x v="11"/>
    <x v="3"/>
    <x v="1"/>
    <x v="35"/>
    <x v="8"/>
    <n v="42133"/>
    <n v="43192"/>
    <n v="1059"/>
    <n v="2.5134692521301592E-2"/>
    <x v="1"/>
  </r>
  <r>
    <x v="0"/>
    <x v="0"/>
    <x v="1"/>
    <x v="36"/>
    <x v="8"/>
    <n v="10200"/>
    <n v="9786"/>
    <n v="-414"/>
    <n v="-4.0588235294117647E-2"/>
    <x v="0"/>
  </r>
  <r>
    <x v="1"/>
    <x v="0"/>
    <x v="1"/>
    <x v="36"/>
    <x v="8"/>
    <n v="9840"/>
    <n v="10482"/>
    <n v="642"/>
    <n v="6.5243902439024393E-2"/>
    <x v="1"/>
  </r>
  <r>
    <x v="2"/>
    <x v="0"/>
    <x v="1"/>
    <x v="36"/>
    <x v="8"/>
    <n v="11040"/>
    <n v="10405"/>
    <n v="-635"/>
    <n v="-5.7518115942028984E-2"/>
    <x v="0"/>
  </r>
  <r>
    <x v="3"/>
    <x v="1"/>
    <x v="1"/>
    <x v="36"/>
    <x v="8"/>
    <n v="11400"/>
    <n v="10500"/>
    <n v="-900"/>
    <n v="-7.8947368421052627E-2"/>
    <x v="0"/>
  </r>
  <r>
    <x v="4"/>
    <x v="1"/>
    <x v="1"/>
    <x v="36"/>
    <x v="8"/>
    <n v="12000"/>
    <n v="12713"/>
    <n v="713"/>
    <n v="5.9416666666666666E-2"/>
    <x v="1"/>
  </r>
  <r>
    <x v="5"/>
    <x v="1"/>
    <x v="1"/>
    <x v="36"/>
    <x v="8"/>
    <n v="12240"/>
    <n v="11270"/>
    <n v="-970"/>
    <n v="-7.9248366013071891E-2"/>
    <x v="0"/>
  </r>
  <r>
    <x v="6"/>
    <x v="2"/>
    <x v="1"/>
    <x v="36"/>
    <x v="8"/>
    <n v="10560"/>
    <n v="10224"/>
    <n v="-336"/>
    <n v="-3.1818181818181815E-2"/>
    <x v="0"/>
  </r>
  <r>
    <x v="7"/>
    <x v="2"/>
    <x v="1"/>
    <x v="36"/>
    <x v="8"/>
    <n v="10200"/>
    <n v="10505"/>
    <n v="305"/>
    <n v="2.9901960784313727E-2"/>
    <x v="1"/>
  </r>
  <r>
    <x v="8"/>
    <x v="2"/>
    <x v="1"/>
    <x v="36"/>
    <x v="8"/>
    <n v="12000"/>
    <n v="11802"/>
    <n v="-198"/>
    <n v="-1.6500000000000001E-2"/>
    <x v="0"/>
  </r>
  <r>
    <x v="9"/>
    <x v="3"/>
    <x v="1"/>
    <x v="36"/>
    <x v="8"/>
    <n v="12600"/>
    <n v="11557"/>
    <n v="-1043"/>
    <n v="-8.2777777777777783E-2"/>
    <x v="0"/>
  </r>
  <r>
    <x v="10"/>
    <x v="3"/>
    <x v="1"/>
    <x v="36"/>
    <x v="8"/>
    <n v="12960"/>
    <n v="13082"/>
    <n v="122"/>
    <n v="9.4135802469135811E-3"/>
    <x v="1"/>
  </r>
  <r>
    <x v="11"/>
    <x v="3"/>
    <x v="1"/>
    <x v="36"/>
    <x v="8"/>
    <n v="18960"/>
    <n v="18776"/>
    <n v="-184"/>
    <n v="-9.7046413502109713E-3"/>
    <x v="0"/>
  </r>
  <r>
    <x v="0"/>
    <x v="0"/>
    <x v="1"/>
    <x v="18"/>
    <x v="8"/>
    <n v="14167"/>
    <n v="15076"/>
    <n v="909"/>
    <n v="6.4163196160090349E-2"/>
    <x v="1"/>
  </r>
  <r>
    <x v="1"/>
    <x v="0"/>
    <x v="1"/>
    <x v="18"/>
    <x v="8"/>
    <n v="13667"/>
    <n v="14069"/>
    <n v="402"/>
    <n v="2.94139167337382E-2"/>
    <x v="1"/>
  </r>
  <r>
    <x v="2"/>
    <x v="0"/>
    <x v="1"/>
    <x v="18"/>
    <x v="8"/>
    <n v="15333"/>
    <n v="17660"/>
    <n v="2327"/>
    <n v="0.15176416878627796"/>
    <x v="1"/>
  </r>
  <r>
    <x v="3"/>
    <x v="1"/>
    <x v="1"/>
    <x v="18"/>
    <x v="8"/>
    <n v="15833"/>
    <n v="14530"/>
    <n v="-1303"/>
    <n v="-8.2296469399355782E-2"/>
    <x v="0"/>
  </r>
  <r>
    <x v="4"/>
    <x v="1"/>
    <x v="1"/>
    <x v="18"/>
    <x v="8"/>
    <n v="16667"/>
    <n v="16649"/>
    <n v="-18"/>
    <n v="-1.0799784004319913E-3"/>
    <x v="0"/>
  </r>
  <r>
    <x v="5"/>
    <x v="1"/>
    <x v="1"/>
    <x v="18"/>
    <x v="8"/>
    <n v="17000"/>
    <n v="16093"/>
    <n v="-907"/>
    <n v="-5.3352941176470589E-2"/>
    <x v="0"/>
  </r>
  <r>
    <x v="6"/>
    <x v="2"/>
    <x v="1"/>
    <x v="18"/>
    <x v="8"/>
    <n v="14667"/>
    <n v="15514"/>
    <n v="847"/>
    <n v="5.7748687529828868E-2"/>
    <x v="1"/>
  </r>
  <r>
    <x v="7"/>
    <x v="2"/>
    <x v="1"/>
    <x v="18"/>
    <x v="8"/>
    <n v="14167"/>
    <n v="14749"/>
    <n v="582"/>
    <n v="4.1081386320321878E-2"/>
    <x v="1"/>
  </r>
  <r>
    <x v="8"/>
    <x v="2"/>
    <x v="1"/>
    <x v="18"/>
    <x v="8"/>
    <n v="16667"/>
    <n v="17295"/>
    <n v="628"/>
    <n v="3.7679246415071699E-2"/>
    <x v="1"/>
  </r>
  <r>
    <x v="9"/>
    <x v="3"/>
    <x v="1"/>
    <x v="18"/>
    <x v="8"/>
    <n v="17500"/>
    <n v="16820"/>
    <n v="-680"/>
    <n v="-3.8857142857142854E-2"/>
    <x v="0"/>
  </r>
  <r>
    <x v="10"/>
    <x v="3"/>
    <x v="1"/>
    <x v="18"/>
    <x v="8"/>
    <n v="18000"/>
    <n v="17329"/>
    <n v="-671"/>
    <n v="-3.7277777777777778E-2"/>
    <x v="0"/>
  </r>
  <r>
    <x v="11"/>
    <x v="3"/>
    <x v="1"/>
    <x v="18"/>
    <x v="8"/>
    <n v="26333"/>
    <n v="23661"/>
    <n v="-2672"/>
    <n v="-0.10146963885618805"/>
    <x v="0"/>
  </r>
  <r>
    <x v="0"/>
    <x v="0"/>
    <x v="1"/>
    <x v="13"/>
    <x v="8"/>
    <n v="1275"/>
    <n v="1353"/>
    <n v="78"/>
    <n v="6.1176470588235297E-2"/>
    <x v="1"/>
  </r>
  <r>
    <x v="1"/>
    <x v="0"/>
    <x v="1"/>
    <x v="13"/>
    <x v="8"/>
    <n v="1230"/>
    <n v="1368"/>
    <n v="138"/>
    <n v="0.11219512195121951"/>
    <x v="1"/>
  </r>
  <r>
    <x v="2"/>
    <x v="0"/>
    <x v="1"/>
    <x v="13"/>
    <x v="8"/>
    <n v="1380"/>
    <n v="1542"/>
    <n v="162"/>
    <n v="0.11739130434782609"/>
    <x v="1"/>
  </r>
  <r>
    <x v="3"/>
    <x v="1"/>
    <x v="1"/>
    <x v="13"/>
    <x v="8"/>
    <n v="1425"/>
    <n v="1303"/>
    <n v="-122"/>
    <n v="-8.5614035087719295E-2"/>
    <x v="0"/>
  </r>
  <r>
    <x v="4"/>
    <x v="1"/>
    <x v="1"/>
    <x v="13"/>
    <x v="8"/>
    <n v="1500"/>
    <n v="1564"/>
    <n v="64"/>
    <n v="4.2666666666666665E-2"/>
    <x v="1"/>
  </r>
  <r>
    <x v="5"/>
    <x v="1"/>
    <x v="1"/>
    <x v="13"/>
    <x v="8"/>
    <n v="1530"/>
    <n v="1345"/>
    <n v="-185"/>
    <n v="-0.12091503267973856"/>
    <x v="0"/>
  </r>
  <r>
    <x v="6"/>
    <x v="2"/>
    <x v="1"/>
    <x v="13"/>
    <x v="8"/>
    <n v="1320"/>
    <n v="1669"/>
    <n v="349"/>
    <n v="0.2643939393939394"/>
    <x v="1"/>
  </r>
  <r>
    <x v="7"/>
    <x v="2"/>
    <x v="1"/>
    <x v="13"/>
    <x v="8"/>
    <n v="1275"/>
    <n v="1408"/>
    <n v="133"/>
    <n v="0.10431372549019607"/>
    <x v="1"/>
  </r>
  <r>
    <x v="8"/>
    <x v="2"/>
    <x v="1"/>
    <x v="13"/>
    <x v="8"/>
    <n v="1500"/>
    <n v="1638"/>
    <n v="138"/>
    <n v="9.1999999999999998E-2"/>
    <x v="1"/>
  </r>
  <r>
    <x v="9"/>
    <x v="3"/>
    <x v="1"/>
    <x v="13"/>
    <x v="8"/>
    <n v="1575"/>
    <n v="1595"/>
    <n v="20"/>
    <n v="1.2698412698412698E-2"/>
    <x v="1"/>
  </r>
  <r>
    <x v="10"/>
    <x v="3"/>
    <x v="1"/>
    <x v="13"/>
    <x v="8"/>
    <n v="1620"/>
    <n v="1450"/>
    <n v="-170"/>
    <n v="-0.10493827160493827"/>
    <x v="0"/>
  </r>
  <r>
    <x v="11"/>
    <x v="3"/>
    <x v="1"/>
    <x v="13"/>
    <x v="8"/>
    <n v="2370"/>
    <n v="2627"/>
    <n v="257"/>
    <n v="0.10843881856540084"/>
    <x v="1"/>
  </r>
  <r>
    <x v="0"/>
    <x v="0"/>
    <x v="1"/>
    <x v="6"/>
    <x v="9"/>
    <n v="34000"/>
    <n v="34373"/>
    <n v="373"/>
    <n v="1.0970588235294117E-2"/>
    <x v="1"/>
  </r>
  <r>
    <x v="1"/>
    <x v="0"/>
    <x v="1"/>
    <x v="6"/>
    <x v="9"/>
    <n v="32800"/>
    <n v="32536"/>
    <n v="-264"/>
    <n v="-8.0487804878048783E-3"/>
    <x v="0"/>
  </r>
  <r>
    <x v="2"/>
    <x v="0"/>
    <x v="1"/>
    <x v="6"/>
    <x v="9"/>
    <n v="36800"/>
    <n v="37511"/>
    <n v="711"/>
    <n v="1.9320652173913044E-2"/>
    <x v="1"/>
  </r>
  <r>
    <x v="3"/>
    <x v="1"/>
    <x v="1"/>
    <x v="6"/>
    <x v="9"/>
    <n v="38000"/>
    <n v="38356"/>
    <n v="356"/>
    <n v="9.3684210526315797E-3"/>
    <x v="1"/>
  </r>
  <r>
    <x v="4"/>
    <x v="1"/>
    <x v="1"/>
    <x v="6"/>
    <x v="9"/>
    <n v="40000"/>
    <n v="40031"/>
    <n v="31"/>
    <n v="7.7499999999999997E-4"/>
    <x v="1"/>
  </r>
  <r>
    <x v="5"/>
    <x v="1"/>
    <x v="1"/>
    <x v="6"/>
    <x v="9"/>
    <n v="40800"/>
    <n v="40567"/>
    <n v="-233"/>
    <n v="-5.71078431372549E-3"/>
    <x v="0"/>
  </r>
  <r>
    <x v="6"/>
    <x v="2"/>
    <x v="1"/>
    <x v="6"/>
    <x v="9"/>
    <n v="35200"/>
    <n v="35186"/>
    <n v="-14"/>
    <n v="-3.9772727272727274E-4"/>
    <x v="0"/>
  </r>
  <r>
    <x v="7"/>
    <x v="2"/>
    <x v="1"/>
    <x v="6"/>
    <x v="9"/>
    <n v="34000"/>
    <n v="33931"/>
    <n v="-69"/>
    <n v="-2.0294117647058824E-3"/>
    <x v="0"/>
  </r>
  <r>
    <x v="8"/>
    <x v="2"/>
    <x v="1"/>
    <x v="6"/>
    <x v="9"/>
    <n v="40000"/>
    <n v="40511"/>
    <n v="511"/>
    <n v="1.2775E-2"/>
    <x v="1"/>
  </r>
  <r>
    <x v="9"/>
    <x v="3"/>
    <x v="1"/>
    <x v="6"/>
    <x v="9"/>
    <n v="42000"/>
    <n v="41362"/>
    <n v="-638"/>
    <n v="-1.519047619047619E-2"/>
    <x v="0"/>
  </r>
  <r>
    <x v="10"/>
    <x v="3"/>
    <x v="1"/>
    <x v="6"/>
    <x v="9"/>
    <n v="43200"/>
    <n v="43379"/>
    <n v="179"/>
    <n v="4.1435185185185186E-3"/>
    <x v="1"/>
  </r>
  <r>
    <x v="11"/>
    <x v="3"/>
    <x v="1"/>
    <x v="6"/>
    <x v="9"/>
    <n v="63200"/>
    <n v="63228"/>
    <n v="28"/>
    <n v="4.4303797468354429E-4"/>
    <x v="1"/>
  </r>
  <r>
    <x v="0"/>
    <x v="0"/>
    <x v="1"/>
    <x v="37"/>
    <x v="9"/>
    <n v="11333"/>
    <n v="11104"/>
    <n v="-229"/>
    <n v="-2.0206476661078266E-2"/>
    <x v="0"/>
  </r>
  <r>
    <x v="1"/>
    <x v="0"/>
    <x v="1"/>
    <x v="37"/>
    <x v="9"/>
    <n v="10933"/>
    <n v="11887"/>
    <n v="954"/>
    <n v="8.7258757888960023E-2"/>
    <x v="1"/>
  </r>
  <r>
    <x v="2"/>
    <x v="0"/>
    <x v="1"/>
    <x v="37"/>
    <x v="9"/>
    <n v="12267"/>
    <n v="11820"/>
    <n v="-447"/>
    <n v="-3.643922719491318E-2"/>
    <x v="0"/>
  </r>
  <r>
    <x v="3"/>
    <x v="1"/>
    <x v="1"/>
    <x v="37"/>
    <x v="9"/>
    <n v="12667"/>
    <n v="12299"/>
    <n v="-368"/>
    <n v="-2.9051867056130103E-2"/>
    <x v="0"/>
  </r>
  <r>
    <x v="4"/>
    <x v="1"/>
    <x v="1"/>
    <x v="37"/>
    <x v="9"/>
    <n v="13333"/>
    <n v="12726"/>
    <n v="-607"/>
    <n v="-4.5526138153453834E-2"/>
    <x v="0"/>
  </r>
  <r>
    <x v="5"/>
    <x v="1"/>
    <x v="1"/>
    <x v="37"/>
    <x v="9"/>
    <n v="13600"/>
    <n v="12883"/>
    <n v="-717"/>
    <n v="-5.2720588235294116E-2"/>
    <x v="0"/>
  </r>
  <r>
    <x v="6"/>
    <x v="2"/>
    <x v="1"/>
    <x v="37"/>
    <x v="9"/>
    <n v="11733"/>
    <n v="11322"/>
    <n v="-411"/>
    <n v="-3.5029404244438761E-2"/>
    <x v="0"/>
  </r>
  <r>
    <x v="7"/>
    <x v="2"/>
    <x v="1"/>
    <x v="37"/>
    <x v="9"/>
    <n v="11333"/>
    <n v="10519"/>
    <n v="-814"/>
    <n v="-7.1825641930645015E-2"/>
    <x v="0"/>
  </r>
  <r>
    <x v="8"/>
    <x v="2"/>
    <x v="1"/>
    <x v="37"/>
    <x v="9"/>
    <n v="13333"/>
    <n v="12646"/>
    <n v="-687"/>
    <n v="-5.1526288157203927E-2"/>
    <x v="0"/>
  </r>
  <r>
    <x v="9"/>
    <x v="3"/>
    <x v="1"/>
    <x v="37"/>
    <x v="9"/>
    <n v="14000"/>
    <n v="12875"/>
    <n v="-1125"/>
    <n v="-8.0357142857142863E-2"/>
    <x v="0"/>
  </r>
  <r>
    <x v="10"/>
    <x v="3"/>
    <x v="1"/>
    <x v="37"/>
    <x v="9"/>
    <n v="14400"/>
    <n v="13322"/>
    <n v="-1078"/>
    <n v="-7.4861111111111114E-2"/>
    <x v="0"/>
  </r>
  <r>
    <x v="11"/>
    <x v="3"/>
    <x v="1"/>
    <x v="37"/>
    <x v="9"/>
    <n v="21067"/>
    <n v="19424"/>
    <n v="-1643"/>
    <n v="-7.7989272321640477E-2"/>
    <x v="0"/>
  </r>
  <r>
    <x v="0"/>
    <x v="0"/>
    <x v="1"/>
    <x v="38"/>
    <x v="9"/>
    <n v="4250"/>
    <n v="4139"/>
    <n v="-111"/>
    <n v="-2.611764705882353E-2"/>
    <x v="0"/>
  </r>
  <r>
    <x v="1"/>
    <x v="0"/>
    <x v="1"/>
    <x v="38"/>
    <x v="9"/>
    <n v="4100"/>
    <n v="3960"/>
    <n v="-140"/>
    <n v="-3.4146341463414637E-2"/>
    <x v="0"/>
  </r>
  <r>
    <x v="2"/>
    <x v="0"/>
    <x v="1"/>
    <x v="38"/>
    <x v="9"/>
    <n v="4600"/>
    <n v="4318"/>
    <n v="-282"/>
    <n v="-6.1304347826086958E-2"/>
    <x v="0"/>
  </r>
  <r>
    <x v="3"/>
    <x v="1"/>
    <x v="1"/>
    <x v="38"/>
    <x v="9"/>
    <n v="4750"/>
    <n v="4864"/>
    <n v="114"/>
    <n v="2.4E-2"/>
    <x v="1"/>
  </r>
  <r>
    <x v="4"/>
    <x v="1"/>
    <x v="1"/>
    <x v="38"/>
    <x v="9"/>
    <n v="5000"/>
    <n v="4988"/>
    <n v="-12"/>
    <n v="-2.3999999999999998E-3"/>
    <x v="0"/>
  </r>
  <r>
    <x v="5"/>
    <x v="1"/>
    <x v="1"/>
    <x v="38"/>
    <x v="9"/>
    <n v="5100"/>
    <n v="4990"/>
    <n v="-110"/>
    <n v="-2.1568627450980392E-2"/>
    <x v="0"/>
  </r>
  <r>
    <x v="6"/>
    <x v="2"/>
    <x v="1"/>
    <x v="38"/>
    <x v="9"/>
    <n v="4400"/>
    <n v="4298"/>
    <n v="-102"/>
    <n v="-2.3181818181818182E-2"/>
    <x v="0"/>
  </r>
  <r>
    <x v="7"/>
    <x v="2"/>
    <x v="1"/>
    <x v="38"/>
    <x v="9"/>
    <n v="4250"/>
    <n v="4588"/>
    <n v="338"/>
    <n v="7.9529411764705876E-2"/>
    <x v="1"/>
  </r>
  <r>
    <x v="8"/>
    <x v="2"/>
    <x v="1"/>
    <x v="38"/>
    <x v="9"/>
    <n v="5000"/>
    <n v="5060"/>
    <n v="60"/>
    <n v="1.2E-2"/>
    <x v="1"/>
  </r>
  <r>
    <x v="9"/>
    <x v="3"/>
    <x v="1"/>
    <x v="38"/>
    <x v="9"/>
    <n v="5250"/>
    <n v="5375"/>
    <n v="125"/>
    <n v="2.3809523809523808E-2"/>
    <x v="1"/>
  </r>
  <r>
    <x v="10"/>
    <x v="3"/>
    <x v="1"/>
    <x v="38"/>
    <x v="9"/>
    <n v="5400"/>
    <n v="4702"/>
    <n v="-698"/>
    <n v="-0.12925925925925927"/>
    <x v="0"/>
  </r>
  <r>
    <x v="11"/>
    <x v="3"/>
    <x v="1"/>
    <x v="38"/>
    <x v="9"/>
    <n v="7900"/>
    <n v="7642"/>
    <n v="-258"/>
    <n v="-3.2658227848101268E-2"/>
    <x v="0"/>
  </r>
  <r>
    <x v="0"/>
    <x v="0"/>
    <x v="1"/>
    <x v="17"/>
    <x v="9"/>
    <n v="3400"/>
    <n v="3031"/>
    <n v="-369"/>
    <n v="-0.10852941176470589"/>
    <x v="0"/>
  </r>
  <r>
    <x v="1"/>
    <x v="0"/>
    <x v="1"/>
    <x v="17"/>
    <x v="9"/>
    <n v="3280"/>
    <n v="3210"/>
    <n v="-70"/>
    <n v="-2.1341463414634148E-2"/>
    <x v="0"/>
  </r>
  <r>
    <x v="2"/>
    <x v="0"/>
    <x v="1"/>
    <x v="17"/>
    <x v="9"/>
    <n v="3680"/>
    <n v="3749"/>
    <n v="69"/>
    <n v="1.8749999999999999E-2"/>
    <x v="1"/>
  </r>
  <r>
    <x v="3"/>
    <x v="1"/>
    <x v="1"/>
    <x v="17"/>
    <x v="9"/>
    <n v="3800"/>
    <n v="3672"/>
    <n v="-128"/>
    <n v="-3.3684210526315789E-2"/>
    <x v="0"/>
  </r>
  <r>
    <x v="4"/>
    <x v="1"/>
    <x v="1"/>
    <x v="17"/>
    <x v="9"/>
    <n v="4000"/>
    <n v="4104"/>
    <n v="104"/>
    <n v="2.5999999999999999E-2"/>
    <x v="1"/>
  </r>
  <r>
    <x v="5"/>
    <x v="1"/>
    <x v="1"/>
    <x v="17"/>
    <x v="9"/>
    <n v="4080"/>
    <n v="3871"/>
    <n v="-209"/>
    <n v="-5.122549019607843E-2"/>
    <x v="0"/>
  </r>
  <r>
    <x v="6"/>
    <x v="2"/>
    <x v="1"/>
    <x v="17"/>
    <x v="9"/>
    <n v="3520"/>
    <n v="3621"/>
    <n v="101"/>
    <n v="2.8693181818181819E-2"/>
    <x v="1"/>
  </r>
  <r>
    <x v="7"/>
    <x v="2"/>
    <x v="1"/>
    <x v="17"/>
    <x v="9"/>
    <n v="3400"/>
    <n v="3136"/>
    <n v="-264"/>
    <n v="-7.7647058823529416E-2"/>
    <x v="0"/>
  </r>
  <r>
    <x v="8"/>
    <x v="2"/>
    <x v="1"/>
    <x v="17"/>
    <x v="9"/>
    <n v="4000"/>
    <n v="3948"/>
    <n v="-52"/>
    <n v="-1.2999999999999999E-2"/>
    <x v="0"/>
  </r>
  <r>
    <x v="9"/>
    <x v="3"/>
    <x v="1"/>
    <x v="17"/>
    <x v="9"/>
    <n v="4200"/>
    <n v="4288"/>
    <n v="88"/>
    <n v="2.0952380952380951E-2"/>
    <x v="1"/>
  </r>
  <r>
    <x v="10"/>
    <x v="3"/>
    <x v="1"/>
    <x v="17"/>
    <x v="9"/>
    <n v="4320"/>
    <n v="4436"/>
    <n v="116"/>
    <n v="2.6851851851851852E-2"/>
    <x v="1"/>
  </r>
  <r>
    <x v="11"/>
    <x v="3"/>
    <x v="1"/>
    <x v="17"/>
    <x v="9"/>
    <n v="6320"/>
    <n v="6280"/>
    <n v="-40"/>
    <n v="-6.3291139240506328E-3"/>
    <x v="0"/>
  </r>
  <r>
    <x v="0"/>
    <x v="0"/>
    <x v="1"/>
    <x v="13"/>
    <x v="9"/>
    <n v="708"/>
    <n v="673"/>
    <n v="-35"/>
    <n v="-4.9435028248587573E-2"/>
    <x v="0"/>
  </r>
  <r>
    <x v="1"/>
    <x v="0"/>
    <x v="1"/>
    <x v="13"/>
    <x v="9"/>
    <n v="683"/>
    <n v="457"/>
    <n v="-226"/>
    <n v="-0.33089311859443632"/>
    <x v="0"/>
  </r>
  <r>
    <x v="2"/>
    <x v="0"/>
    <x v="1"/>
    <x v="13"/>
    <x v="9"/>
    <n v="767"/>
    <n v="733"/>
    <n v="-34"/>
    <n v="-4.4328552803129077E-2"/>
    <x v="0"/>
  </r>
  <r>
    <x v="3"/>
    <x v="1"/>
    <x v="1"/>
    <x v="13"/>
    <x v="9"/>
    <n v="792"/>
    <n v="918"/>
    <n v="126"/>
    <n v="0.15909090909090909"/>
    <x v="1"/>
  </r>
  <r>
    <x v="4"/>
    <x v="1"/>
    <x v="1"/>
    <x v="13"/>
    <x v="9"/>
    <n v="833"/>
    <n v="844"/>
    <n v="11"/>
    <n v="1.3205282112845138E-2"/>
    <x v="1"/>
  </r>
  <r>
    <x v="5"/>
    <x v="1"/>
    <x v="1"/>
    <x v="13"/>
    <x v="9"/>
    <n v="850"/>
    <n v="893"/>
    <n v="43"/>
    <n v="5.0588235294117649E-2"/>
    <x v="1"/>
  </r>
  <r>
    <x v="6"/>
    <x v="2"/>
    <x v="1"/>
    <x v="13"/>
    <x v="9"/>
    <n v="733"/>
    <n v="630"/>
    <n v="-103"/>
    <n v="-0.14051841746248295"/>
    <x v="0"/>
  </r>
  <r>
    <x v="7"/>
    <x v="2"/>
    <x v="1"/>
    <x v="13"/>
    <x v="9"/>
    <n v="708"/>
    <n v="527"/>
    <n v="-181"/>
    <n v="-0.2556497175141243"/>
    <x v="0"/>
  </r>
  <r>
    <x v="8"/>
    <x v="2"/>
    <x v="1"/>
    <x v="13"/>
    <x v="9"/>
    <n v="833"/>
    <n v="879"/>
    <n v="46"/>
    <n v="5.5222088835534214E-2"/>
    <x v="1"/>
  </r>
  <r>
    <x v="9"/>
    <x v="3"/>
    <x v="1"/>
    <x v="13"/>
    <x v="9"/>
    <n v="875"/>
    <n v="909"/>
    <n v="34"/>
    <n v="3.8857142857142854E-2"/>
    <x v="1"/>
  </r>
  <r>
    <x v="10"/>
    <x v="3"/>
    <x v="1"/>
    <x v="13"/>
    <x v="9"/>
    <n v="900"/>
    <n v="810"/>
    <n v="-90"/>
    <n v="-0.1"/>
    <x v="0"/>
  </r>
  <r>
    <x v="11"/>
    <x v="3"/>
    <x v="1"/>
    <x v="13"/>
    <x v="9"/>
    <n v="1317"/>
    <n v="1373"/>
    <n v="56"/>
    <n v="4.2520880789673497E-2"/>
    <x v="1"/>
  </r>
  <r>
    <x v="0"/>
    <x v="0"/>
    <x v="1"/>
    <x v="6"/>
    <x v="10"/>
    <n v="85000"/>
    <n v="83334"/>
    <n v="-1666"/>
    <n v="-1.9599999999999999E-2"/>
    <x v="0"/>
  </r>
  <r>
    <x v="1"/>
    <x v="0"/>
    <x v="1"/>
    <x v="6"/>
    <x v="10"/>
    <n v="82000"/>
    <n v="82795"/>
    <n v="795"/>
    <n v="9.6951219512195121E-3"/>
    <x v="1"/>
  </r>
  <r>
    <x v="2"/>
    <x v="0"/>
    <x v="1"/>
    <x v="6"/>
    <x v="10"/>
    <n v="92000"/>
    <n v="93712"/>
    <n v="1712"/>
    <n v="1.8608695652173914E-2"/>
    <x v="1"/>
  </r>
  <r>
    <x v="3"/>
    <x v="1"/>
    <x v="1"/>
    <x v="6"/>
    <x v="10"/>
    <n v="95000"/>
    <n v="96043"/>
    <n v="1043"/>
    <n v="1.0978947368421053E-2"/>
    <x v="1"/>
  </r>
  <r>
    <x v="4"/>
    <x v="1"/>
    <x v="1"/>
    <x v="6"/>
    <x v="10"/>
    <n v="100000"/>
    <n v="101198"/>
    <n v="1198"/>
    <n v="1.1979999999999999E-2"/>
    <x v="1"/>
  </r>
  <r>
    <x v="5"/>
    <x v="1"/>
    <x v="1"/>
    <x v="6"/>
    <x v="10"/>
    <n v="102000"/>
    <n v="102844"/>
    <n v="844"/>
    <n v="8.2745098039215693E-3"/>
    <x v="1"/>
  </r>
  <r>
    <x v="6"/>
    <x v="2"/>
    <x v="1"/>
    <x v="6"/>
    <x v="10"/>
    <n v="88000"/>
    <n v="86726"/>
    <n v="-1274"/>
    <n v="-1.4477272727272728E-2"/>
    <x v="0"/>
  </r>
  <r>
    <x v="7"/>
    <x v="2"/>
    <x v="1"/>
    <x v="6"/>
    <x v="10"/>
    <n v="85000"/>
    <n v="84705"/>
    <n v="-295"/>
    <n v="-3.4705882352941177E-3"/>
    <x v="0"/>
  </r>
  <r>
    <x v="8"/>
    <x v="2"/>
    <x v="1"/>
    <x v="6"/>
    <x v="10"/>
    <n v="100000"/>
    <n v="99421"/>
    <n v="-579"/>
    <n v="-5.79E-3"/>
    <x v="0"/>
  </r>
  <r>
    <x v="9"/>
    <x v="3"/>
    <x v="1"/>
    <x v="6"/>
    <x v="10"/>
    <n v="105000"/>
    <n v="105244"/>
    <n v="244"/>
    <n v="2.323809523809524E-3"/>
    <x v="1"/>
  </r>
  <r>
    <x v="10"/>
    <x v="3"/>
    <x v="1"/>
    <x v="6"/>
    <x v="10"/>
    <n v="108000"/>
    <n v="108074"/>
    <n v="74"/>
    <n v="6.8518518518518516E-4"/>
    <x v="1"/>
  </r>
  <r>
    <x v="11"/>
    <x v="3"/>
    <x v="1"/>
    <x v="6"/>
    <x v="10"/>
    <n v="158000"/>
    <n v="157878"/>
    <n v="-122"/>
    <n v="-7.7215189873417725E-4"/>
    <x v="0"/>
  </r>
  <r>
    <x v="0"/>
    <x v="0"/>
    <x v="1"/>
    <x v="39"/>
    <x v="10"/>
    <n v="5667"/>
    <n v="5456"/>
    <n v="-211"/>
    <n v="-3.7233103935062642E-2"/>
    <x v="0"/>
  </r>
  <r>
    <x v="1"/>
    <x v="0"/>
    <x v="1"/>
    <x v="39"/>
    <x v="10"/>
    <n v="5467"/>
    <n v="5682"/>
    <n v="215"/>
    <n v="3.9326870312785804E-2"/>
    <x v="1"/>
  </r>
  <r>
    <x v="2"/>
    <x v="0"/>
    <x v="1"/>
    <x v="39"/>
    <x v="10"/>
    <n v="6133"/>
    <n v="6707"/>
    <n v="574"/>
    <n v="9.3592043045817711E-2"/>
    <x v="1"/>
  </r>
  <r>
    <x v="3"/>
    <x v="1"/>
    <x v="1"/>
    <x v="39"/>
    <x v="10"/>
    <n v="6333"/>
    <n v="6143"/>
    <n v="-190"/>
    <n v="-3.0001579030475289E-2"/>
    <x v="0"/>
  </r>
  <r>
    <x v="4"/>
    <x v="1"/>
    <x v="1"/>
    <x v="39"/>
    <x v="10"/>
    <n v="6667"/>
    <n v="7079"/>
    <n v="412"/>
    <n v="6.1796910154492277E-2"/>
    <x v="1"/>
  </r>
  <r>
    <x v="5"/>
    <x v="1"/>
    <x v="1"/>
    <x v="39"/>
    <x v="10"/>
    <n v="6800"/>
    <n v="7102"/>
    <n v="302"/>
    <n v="4.4411764705882352E-2"/>
    <x v="1"/>
  </r>
  <r>
    <x v="6"/>
    <x v="2"/>
    <x v="1"/>
    <x v="39"/>
    <x v="10"/>
    <n v="5867"/>
    <n v="5089"/>
    <n v="-778"/>
    <n v="-0.13260610192602693"/>
    <x v="0"/>
  </r>
  <r>
    <x v="7"/>
    <x v="2"/>
    <x v="1"/>
    <x v="39"/>
    <x v="10"/>
    <n v="5667"/>
    <n v="5451"/>
    <n v="-216"/>
    <n v="-3.8115404976177873E-2"/>
    <x v="0"/>
  </r>
  <r>
    <x v="8"/>
    <x v="2"/>
    <x v="1"/>
    <x v="39"/>
    <x v="10"/>
    <n v="6667"/>
    <n v="6455"/>
    <n v="-212"/>
    <n v="-3.1798410079496027E-2"/>
    <x v="0"/>
  </r>
  <r>
    <x v="9"/>
    <x v="3"/>
    <x v="1"/>
    <x v="39"/>
    <x v="10"/>
    <n v="7000"/>
    <n v="7274"/>
    <n v="274"/>
    <n v="3.9142857142857146E-2"/>
    <x v="1"/>
  </r>
  <r>
    <x v="10"/>
    <x v="3"/>
    <x v="1"/>
    <x v="39"/>
    <x v="10"/>
    <n v="7200"/>
    <n v="7268"/>
    <n v="68"/>
    <n v="9.4444444444444445E-3"/>
    <x v="1"/>
  </r>
  <r>
    <x v="11"/>
    <x v="3"/>
    <x v="1"/>
    <x v="39"/>
    <x v="10"/>
    <n v="10533"/>
    <n v="10783"/>
    <n v="250"/>
    <n v="2.3734928320516473E-2"/>
    <x v="1"/>
  </r>
  <r>
    <x v="0"/>
    <x v="0"/>
    <x v="1"/>
    <x v="9"/>
    <x v="10"/>
    <n v="7083"/>
    <n v="7308"/>
    <n v="225"/>
    <n v="3.176620076238882E-2"/>
    <x v="1"/>
  </r>
  <r>
    <x v="1"/>
    <x v="0"/>
    <x v="1"/>
    <x v="9"/>
    <x v="10"/>
    <n v="6833"/>
    <n v="6526"/>
    <n v="-307"/>
    <n v="-4.4929020927850137E-2"/>
    <x v="0"/>
  </r>
  <r>
    <x v="2"/>
    <x v="0"/>
    <x v="1"/>
    <x v="9"/>
    <x v="10"/>
    <n v="7667"/>
    <n v="7381"/>
    <n v="-286"/>
    <n v="-3.7302725968436153E-2"/>
    <x v="0"/>
  </r>
  <r>
    <x v="3"/>
    <x v="1"/>
    <x v="1"/>
    <x v="9"/>
    <x v="10"/>
    <n v="7917"/>
    <n v="7433"/>
    <n v="-484"/>
    <n v="-6.1134268030819755E-2"/>
    <x v="0"/>
  </r>
  <r>
    <x v="4"/>
    <x v="1"/>
    <x v="1"/>
    <x v="9"/>
    <x v="10"/>
    <n v="8333"/>
    <n v="8262"/>
    <n v="-71"/>
    <n v="-8.5203408136325445E-3"/>
    <x v="0"/>
  </r>
  <r>
    <x v="5"/>
    <x v="1"/>
    <x v="1"/>
    <x v="9"/>
    <x v="10"/>
    <n v="8500"/>
    <n v="8449"/>
    <n v="-51"/>
    <n v="-6.0000000000000001E-3"/>
    <x v="0"/>
  </r>
  <r>
    <x v="6"/>
    <x v="2"/>
    <x v="1"/>
    <x v="9"/>
    <x v="10"/>
    <n v="7333"/>
    <n v="7396"/>
    <n v="63"/>
    <n v="8.5912996045274786E-3"/>
    <x v="1"/>
  </r>
  <r>
    <x v="7"/>
    <x v="2"/>
    <x v="1"/>
    <x v="9"/>
    <x v="10"/>
    <n v="7083"/>
    <n v="6825"/>
    <n v="-258"/>
    <n v="-3.6425243540872509E-2"/>
    <x v="0"/>
  </r>
  <r>
    <x v="8"/>
    <x v="2"/>
    <x v="1"/>
    <x v="9"/>
    <x v="10"/>
    <n v="8333"/>
    <n v="8711"/>
    <n v="378"/>
    <n v="4.53618144725789E-2"/>
    <x v="1"/>
  </r>
  <r>
    <x v="9"/>
    <x v="3"/>
    <x v="1"/>
    <x v="9"/>
    <x v="10"/>
    <n v="8750"/>
    <n v="9151"/>
    <n v="401"/>
    <n v="4.5828571428571427E-2"/>
    <x v="1"/>
  </r>
  <r>
    <x v="10"/>
    <x v="3"/>
    <x v="1"/>
    <x v="9"/>
    <x v="10"/>
    <n v="9000"/>
    <n v="9696"/>
    <n v="696"/>
    <n v="7.7333333333333337E-2"/>
    <x v="1"/>
  </r>
  <r>
    <x v="11"/>
    <x v="3"/>
    <x v="1"/>
    <x v="9"/>
    <x v="10"/>
    <n v="13167"/>
    <n v="13635"/>
    <n v="468"/>
    <n v="3.5543403964456599E-2"/>
    <x v="1"/>
  </r>
  <r>
    <x v="0"/>
    <x v="0"/>
    <x v="1"/>
    <x v="40"/>
    <x v="10"/>
    <n v="4250"/>
    <n v="4289"/>
    <n v="39"/>
    <n v="9.1764705882352946E-3"/>
    <x v="1"/>
  </r>
  <r>
    <x v="1"/>
    <x v="0"/>
    <x v="1"/>
    <x v="40"/>
    <x v="10"/>
    <n v="4100"/>
    <n v="4238"/>
    <n v="138"/>
    <n v="3.3658536585365856E-2"/>
    <x v="1"/>
  </r>
  <r>
    <x v="2"/>
    <x v="0"/>
    <x v="1"/>
    <x v="40"/>
    <x v="10"/>
    <n v="4600"/>
    <n v="4740"/>
    <n v="140"/>
    <n v="3.0434782608695653E-2"/>
    <x v="1"/>
  </r>
  <r>
    <x v="3"/>
    <x v="1"/>
    <x v="1"/>
    <x v="40"/>
    <x v="10"/>
    <n v="4750"/>
    <n v="4595"/>
    <n v="-155"/>
    <n v="-3.2631578947368421E-2"/>
    <x v="0"/>
  </r>
  <r>
    <x v="4"/>
    <x v="1"/>
    <x v="1"/>
    <x v="40"/>
    <x v="10"/>
    <n v="5000"/>
    <n v="5322"/>
    <n v="322"/>
    <n v="6.4399999999999999E-2"/>
    <x v="1"/>
  </r>
  <r>
    <x v="5"/>
    <x v="1"/>
    <x v="1"/>
    <x v="40"/>
    <x v="10"/>
    <n v="5100"/>
    <n v="5538"/>
    <n v="438"/>
    <n v="8.5882352941176465E-2"/>
    <x v="1"/>
  </r>
  <r>
    <x v="6"/>
    <x v="2"/>
    <x v="1"/>
    <x v="40"/>
    <x v="10"/>
    <n v="4400"/>
    <n v="4835"/>
    <n v="435"/>
    <n v="9.8863636363636362E-2"/>
    <x v="1"/>
  </r>
  <r>
    <x v="7"/>
    <x v="2"/>
    <x v="1"/>
    <x v="40"/>
    <x v="10"/>
    <n v="4250"/>
    <n v="4257"/>
    <n v="7"/>
    <n v="1.6470588235294118E-3"/>
    <x v="1"/>
  </r>
  <r>
    <x v="8"/>
    <x v="2"/>
    <x v="1"/>
    <x v="40"/>
    <x v="10"/>
    <n v="5000"/>
    <n v="5081"/>
    <n v="81"/>
    <n v="1.6199999999999999E-2"/>
    <x v="1"/>
  </r>
  <r>
    <x v="9"/>
    <x v="3"/>
    <x v="1"/>
    <x v="40"/>
    <x v="10"/>
    <n v="5250"/>
    <n v="5359"/>
    <n v="109"/>
    <n v="2.0761904761904763E-2"/>
    <x v="1"/>
  </r>
  <r>
    <x v="10"/>
    <x v="3"/>
    <x v="1"/>
    <x v="40"/>
    <x v="10"/>
    <n v="5400"/>
    <n v="5399"/>
    <n v="-1"/>
    <n v="-1.8518518518518518E-4"/>
    <x v="0"/>
  </r>
  <r>
    <x v="11"/>
    <x v="3"/>
    <x v="1"/>
    <x v="40"/>
    <x v="10"/>
    <n v="7900"/>
    <n v="8145"/>
    <n v="245"/>
    <n v="3.10126582278481E-2"/>
    <x v="1"/>
  </r>
  <r>
    <x v="0"/>
    <x v="0"/>
    <x v="1"/>
    <x v="13"/>
    <x v="10"/>
    <n v="1417"/>
    <n v="1384"/>
    <n v="-33"/>
    <n v="-2.3288637967537051E-2"/>
    <x v="0"/>
  </r>
  <r>
    <x v="1"/>
    <x v="0"/>
    <x v="1"/>
    <x v="13"/>
    <x v="10"/>
    <n v="1367"/>
    <n v="1394"/>
    <n v="27"/>
    <n v="1.9751280175566936E-2"/>
    <x v="1"/>
  </r>
  <r>
    <x v="2"/>
    <x v="0"/>
    <x v="1"/>
    <x v="13"/>
    <x v="10"/>
    <n v="1533"/>
    <n v="1695"/>
    <n v="162"/>
    <n v="0.10567514677103718"/>
    <x v="1"/>
  </r>
  <r>
    <x v="3"/>
    <x v="1"/>
    <x v="1"/>
    <x v="13"/>
    <x v="10"/>
    <n v="1583"/>
    <n v="1638"/>
    <n v="55"/>
    <n v="3.474415666456096E-2"/>
    <x v="1"/>
  </r>
  <r>
    <x v="4"/>
    <x v="1"/>
    <x v="1"/>
    <x v="13"/>
    <x v="10"/>
    <n v="1667"/>
    <n v="1423"/>
    <n v="-244"/>
    <n v="-0.14637072585482905"/>
    <x v="0"/>
  </r>
  <r>
    <x v="5"/>
    <x v="1"/>
    <x v="1"/>
    <x v="13"/>
    <x v="10"/>
    <n v="1700"/>
    <n v="1468"/>
    <n v="-232"/>
    <n v="-0.13647058823529412"/>
    <x v="0"/>
  </r>
  <r>
    <x v="6"/>
    <x v="2"/>
    <x v="1"/>
    <x v="13"/>
    <x v="10"/>
    <n v="1467"/>
    <n v="1259"/>
    <n v="-208"/>
    <n v="-0.14178595773687799"/>
    <x v="0"/>
  </r>
  <r>
    <x v="7"/>
    <x v="2"/>
    <x v="1"/>
    <x v="13"/>
    <x v="10"/>
    <n v="1417"/>
    <n v="1544"/>
    <n v="127"/>
    <n v="8.9625970359915319E-2"/>
    <x v="1"/>
  </r>
  <r>
    <x v="8"/>
    <x v="2"/>
    <x v="1"/>
    <x v="13"/>
    <x v="10"/>
    <n v="1667"/>
    <n v="1647"/>
    <n v="-20"/>
    <n v="-1.199760047990402E-2"/>
    <x v="0"/>
  </r>
  <r>
    <x v="9"/>
    <x v="3"/>
    <x v="1"/>
    <x v="13"/>
    <x v="10"/>
    <n v="1750"/>
    <n v="1337"/>
    <n v="-413"/>
    <n v="-0.23599999999999999"/>
    <x v="0"/>
  </r>
  <r>
    <x v="10"/>
    <x v="3"/>
    <x v="1"/>
    <x v="13"/>
    <x v="10"/>
    <n v="1800"/>
    <n v="1768"/>
    <n v="-32"/>
    <n v="-1.7777777777777778E-2"/>
    <x v="0"/>
  </r>
  <r>
    <x v="11"/>
    <x v="3"/>
    <x v="1"/>
    <x v="13"/>
    <x v="10"/>
    <n v="2633"/>
    <n v="2608"/>
    <n v="-25"/>
    <n v="-9.4948727687048998E-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6D63C9-2650-4E32-B11C-9CCBABCD629B}" name="Line item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62:D69" firstHeaderRow="1" firstDataRow="2" firstDataCol="1"/>
  <pivotFields count="10">
    <pivotField showAll="0">
      <items count="13">
        <item x="0"/>
        <item x="1"/>
        <item x="2"/>
        <item x="3"/>
        <item x="4"/>
        <item x="5"/>
        <item x="6"/>
        <item x="7"/>
        <item x="8"/>
        <item x="9"/>
        <item x="10"/>
        <item x="11"/>
        <item t="default"/>
      </items>
    </pivotField>
    <pivotField showAll="0"/>
    <pivotField showAll="0">
      <items count="3">
        <item x="1"/>
        <item x="0"/>
        <item t="default"/>
      </items>
    </pivotField>
    <pivotField axis="axisRow" showAll="0" measureFilter="1">
      <items count="42">
        <item x="8"/>
        <item x="20"/>
        <item x="21"/>
        <item x="39"/>
        <item x="25"/>
        <item x="7"/>
        <item x="38"/>
        <item x="3"/>
        <item x="19"/>
        <item x="30"/>
        <item x="28"/>
        <item x="23"/>
        <item x="16"/>
        <item x="34"/>
        <item x="27"/>
        <item x="24"/>
        <item x="17"/>
        <item x="37"/>
        <item x="4"/>
        <item x="18"/>
        <item x="13"/>
        <item x="12"/>
        <item x="5"/>
        <item x="32"/>
        <item x="40"/>
        <item x="35"/>
        <item x="0"/>
        <item x="31"/>
        <item x="22"/>
        <item x="14"/>
        <item x="6"/>
        <item x="1"/>
        <item x="10"/>
        <item x="33"/>
        <item x="26"/>
        <item x="2"/>
        <item x="29"/>
        <item x="11"/>
        <item x="9"/>
        <item x="15"/>
        <item x="36"/>
        <item t="default"/>
      </items>
    </pivotField>
    <pivotField showAll="0">
      <items count="12">
        <item x="0"/>
        <item x="6"/>
        <item x="10"/>
        <item x="3"/>
        <item x="4"/>
        <item x="5"/>
        <item x="9"/>
        <item x="2"/>
        <item x="7"/>
        <item x="1"/>
        <item x="8"/>
        <item t="default"/>
      </items>
    </pivotField>
    <pivotField numFmtId="164" showAll="0"/>
    <pivotField numFmtId="164" showAll="0"/>
    <pivotField dataField="1" numFmtId="164" showAll="0"/>
    <pivotField numFmtId="10" showAll="0"/>
    <pivotField axis="axisCol" showAll="0">
      <items count="3">
        <item x="0"/>
        <item x="1"/>
        <item t="default"/>
      </items>
    </pivotField>
  </pivotFields>
  <rowFields count="1">
    <field x="3"/>
  </rowFields>
  <rowItems count="6">
    <i>
      <x v="7"/>
    </i>
    <i>
      <x v="18"/>
    </i>
    <i>
      <x v="26"/>
    </i>
    <i>
      <x v="31"/>
    </i>
    <i>
      <x v="35"/>
    </i>
    <i t="grand">
      <x/>
    </i>
  </rowItems>
  <colFields count="1">
    <field x="9"/>
  </colFields>
  <colItems count="3">
    <i>
      <x/>
    </i>
    <i>
      <x v="1"/>
    </i>
    <i t="grand">
      <x/>
    </i>
  </colItems>
  <dataFields count="1">
    <dataField name="Sum of Variance" fld="7" baseField="0" baseItem="0" numFmtId="164"/>
  </dataFields>
  <chartFormats count="8">
    <chartFormat chart="18" format="2" series="1">
      <pivotArea type="data" outline="0" fieldPosition="0">
        <references count="1">
          <reference field="9" count="1" selected="0">
            <x v="0"/>
          </reference>
        </references>
      </pivotArea>
    </chartFormat>
    <chartFormat chart="18" format="3" series="1">
      <pivotArea type="data" outline="0" fieldPosition="0">
        <references count="1">
          <reference field="9" count="1" selected="0">
            <x v="1"/>
          </reference>
        </references>
      </pivotArea>
    </chartFormat>
    <chartFormat chart="22" format="6" series="1">
      <pivotArea type="data" outline="0" fieldPosition="0">
        <references count="2">
          <reference field="4294967294" count="1" selected="0">
            <x v="0"/>
          </reference>
          <reference field="9" count="1" selected="0">
            <x v="0"/>
          </reference>
        </references>
      </pivotArea>
    </chartFormat>
    <chartFormat chart="22" format="7" series="1">
      <pivotArea type="data" outline="0" fieldPosition="0">
        <references count="2">
          <reference field="4294967294" count="1" selected="0">
            <x v="0"/>
          </reference>
          <reference field="9" count="1" selected="0">
            <x v="1"/>
          </reference>
        </references>
      </pivotArea>
    </chartFormat>
    <chartFormat chart="18" format="4" series="1">
      <pivotArea type="data" outline="0" fieldPosition="0">
        <references count="2">
          <reference field="4294967294" count="1" selected="0">
            <x v="0"/>
          </reference>
          <reference field="9" count="1" selected="0">
            <x v="1"/>
          </reference>
        </references>
      </pivotArea>
    </chartFormat>
    <chartFormat chart="18" format="5" series="1">
      <pivotArea type="data" outline="0" fieldPosition="0">
        <references count="2">
          <reference field="4294967294" count="1" selected="0">
            <x v="0"/>
          </reference>
          <reference field="9" count="1" selected="0">
            <x v="0"/>
          </reference>
        </references>
      </pivotArea>
    </chartFormat>
    <chartFormat chart="22" format="8"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4126AA-ECD5-4FCD-B930-77B0005BF215}" name="Var By Quart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6:D42" firstHeaderRow="1" firstDataRow="2" firstDataCol="1"/>
  <pivotFields count="1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 showAll="0">
      <items count="3">
        <item x="1"/>
        <item x="0"/>
        <item t="default"/>
      </items>
    </pivotField>
    <pivotField showAll="0"/>
    <pivotField showAll="0">
      <items count="12">
        <item x="0"/>
        <item x="6"/>
        <item x="10"/>
        <item x="3"/>
        <item x="4"/>
        <item x="5"/>
        <item x="9"/>
        <item x="2"/>
        <item x="7"/>
        <item x="1"/>
        <item x="8"/>
        <item t="default"/>
      </items>
    </pivotField>
    <pivotField numFmtId="164" showAll="0"/>
    <pivotField numFmtId="164" showAll="0"/>
    <pivotField numFmtId="164" showAll="0"/>
    <pivotField numFmtId="10" showAll="0"/>
    <pivotField axis="axisCol" dataField="1" showAll="0">
      <items count="3">
        <item x="0"/>
        <item x="1"/>
        <item t="default"/>
      </items>
    </pivotField>
  </pivotFields>
  <rowFields count="1">
    <field x="1"/>
  </rowFields>
  <rowItems count="5">
    <i>
      <x/>
    </i>
    <i>
      <x v="1"/>
    </i>
    <i>
      <x v="2"/>
    </i>
    <i>
      <x v="3"/>
    </i>
    <i t="grand">
      <x/>
    </i>
  </rowItems>
  <colFields count="1">
    <field x="9"/>
  </colFields>
  <colItems count="3">
    <i>
      <x/>
    </i>
    <i>
      <x v="1"/>
    </i>
    <i t="grand">
      <x/>
    </i>
  </colItems>
  <dataFields count="1">
    <dataField name="Count of Budget Status" fld="9" subtotal="count" baseField="0" baseItem="0"/>
  </dataFields>
  <chartFormats count="6">
    <chartFormat chart="2" format="0"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1"/>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6" format="5" series="1">
      <pivotArea type="data" outline="0" fieldPosition="0">
        <references count="2">
          <reference field="4294967294" count="1" selected="0">
            <x v="0"/>
          </reference>
          <reference field="9" count="1" selected="0">
            <x v="1"/>
          </reference>
        </references>
      </pivotArea>
    </chartFormat>
    <chartFormat chart="6" format="8"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5EECBD-1F01-4323-87B9-8D418D6AEFC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72:C75" firstHeaderRow="0" firstDataRow="1" firstDataCol="1"/>
  <pivotFields count="10">
    <pivotField showAll="0"/>
    <pivotField showAll="0"/>
    <pivotField axis="axisRow" showAll="0">
      <items count="3">
        <item x="1"/>
        <item x="0"/>
        <item t="default"/>
      </items>
    </pivotField>
    <pivotField showAll="0"/>
    <pivotField showAll="0"/>
    <pivotField dataField="1" numFmtId="164" showAll="0"/>
    <pivotField dataField="1" numFmtId="164" showAll="0"/>
    <pivotField numFmtId="164" showAll="0"/>
    <pivotField numFmtId="10" showAll="0"/>
    <pivotField showAll="0"/>
  </pivotFields>
  <rowFields count="1">
    <field x="2"/>
  </rowFields>
  <rowItems count="3">
    <i>
      <x/>
    </i>
    <i>
      <x v="1"/>
    </i>
    <i t="grand">
      <x/>
    </i>
  </rowItems>
  <colFields count="1">
    <field x="-2"/>
  </colFields>
  <colItems count="2">
    <i>
      <x/>
    </i>
    <i i="1">
      <x v="1"/>
    </i>
  </colItems>
  <dataFields count="2">
    <dataField name="Sum of Actual" fld="6" baseField="0" baseItem="0" numFmtId="164"/>
    <dataField name="Sum of Budget" fld="5" baseField="0" baseItem="0" numFmtId="164"/>
  </dataFields>
  <chartFormats count="10">
    <chartFormat chart="6" format="1"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6" format="4">
      <pivotArea type="data" outline="0" fieldPosition="0">
        <references count="2">
          <reference field="4294967294" count="1" selected="0">
            <x v="0"/>
          </reference>
          <reference field="2" count="1" selected="0">
            <x v="1"/>
          </reference>
        </references>
      </pivotArea>
    </chartFormat>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2" count="1" selected="0">
            <x v="0"/>
          </reference>
        </references>
      </pivotArea>
    </chartFormat>
    <chartFormat chart="29" format="2">
      <pivotArea type="data" outline="0" fieldPosition="0">
        <references count="2">
          <reference field="4294967294" count="1" selected="0">
            <x v="0"/>
          </reference>
          <reference field="2" count="1" selected="0">
            <x v="1"/>
          </reference>
        </references>
      </pivotArea>
    </chartFormat>
    <chartFormat chart="29"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996265-ED4D-4D6D-9466-21508F7D65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09:D111" firstHeaderRow="1" firstDataRow="2" firstDataCol="1"/>
  <pivotFields count="10">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pivotField showAll="0">
      <items count="12">
        <item x="0"/>
        <item x="6"/>
        <item x="10"/>
        <item x="3"/>
        <item x="4"/>
        <item x="5"/>
        <item x="9"/>
        <item x="2"/>
        <item x="7"/>
        <item x="1"/>
        <item x="8"/>
        <item t="default"/>
      </items>
    </pivotField>
    <pivotField numFmtId="164" showAll="0"/>
    <pivotField numFmtId="164" showAll="0"/>
    <pivotField numFmtId="164" showAll="0"/>
    <pivotField dataField="1" numFmtId="10" showAll="0"/>
    <pivotField axis="axisCol" showAll="0">
      <items count="3">
        <item x="0"/>
        <item x="1"/>
        <item t="default"/>
      </items>
    </pivotField>
  </pivotFields>
  <rowItems count="1">
    <i/>
  </rowItems>
  <colFields count="1">
    <field x="9"/>
  </colFields>
  <colItems count="3">
    <i>
      <x/>
    </i>
    <i>
      <x v="1"/>
    </i>
    <i t="grand">
      <x/>
    </i>
  </colItems>
  <dataFields count="1">
    <dataField name="Sum of Variance %" fld="8"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D85BB9-2BB7-4791-8968-E9A2A2CC29E4}" name="Budget VS Actu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6" firstHeaderRow="0" firstDataRow="1" firstDataCol="1"/>
  <pivotFields count="10">
    <pivotField axis="axisRow" showAll="0">
      <items count="13">
        <item x="0"/>
        <item x="1"/>
        <item x="2"/>
        <item x="3"/>
        <item x="4"/>
        <item x="5"/>
        <item x="6"/>
        <item x="7"/>
        <item x="8"/>
        <item x="9"/>
        <item x="10"/>
        <item x="11"/>
        <item t="default"/>
      </items>
    </pivotField>
    <pivotField showAll="0"/>
    <pivotField showAll="0">
      <items count="3">
        <item x="1"/>
        <item x="0"/>
        <item t="default"/>
      </items>
    </pivotField>
    <pivotField showAll="0"/>
    <pivotField showAll="0">
      <items count="12">
        <item x="0"/>
        <item x="6"/>
        <item x="10"/>
        <item x="3"/>
        <item x="4"/>
        <item x="5"/>
        <item x="9"/>
        <item x="2"/>
        <item x="7"/>
        <item x="1"/>
        <item x="8"/>
        <item t="default"/>
      </items>
    </pivotField>
    <pivotField dataField="1" numFmtId="164" showAll="0"/>
    <pivotField dataField="1" numFmtId="164" showAll="0"/>
    <pivotField numFmtId="164" showAll="0"/>
    <pivotField numFmtId="10" showAll="0"/>
    <pivotField showAll="0">
      <items count="3">
        <item x="0"/>
        <item x="1"/>
        <item t="default"/>
      </items>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Budget" fld="5" baseField="0" baseItem="0" numFmtId="164"/>
    <dataField name="Sum of Actual" fld="6"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D06369-2125-46B7-84E0-AC835AF301B8}" name="Sum of Vari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05:D107" firstHeaderRow="1" firstDataRow="2" firstDataCol="1"/>
  <pivotFields count="10">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pivotField showAll="0">
      <items count="12">
        <item x="0"/>
        <item x="6"/>
        <item x="10"/>
        <item x="3"/>
        <item x="4"/>
        <item x="5"/>
        <item x="9"/>
        <item x="2"/>
        <item x="7"/>
        <item x="1"/>
        <item x="8"/>
        <item t="default"/>
      </items>
    </pivotField>
    <pivotField numFmtId="164" showAll="0"/>
    <pivotField numFmtId="164" showAll="0"/>
    <pivotField dataField="1" numFmtId="164" showAll="0"/>
    <pivotField numFmtId="10" showAll="0"/>
    <pivotField axis="axisCol" showAll="0">
      <items count="3">
        <item x="0"/>
        <item x="1"/>
        <item t="default"/>
      </items>
    </pivotField>
  </pivotFields>
  <rowItems count="1">
    <i/>
  </rowItems>
  <colFields count="1">
    <field x="9"/>
  </colFields>
  <colItems count="3">
    <i>
      <x/>
    </i>
    <i>
      <x v="1"/>
    </i>
    <i t="grand">
      <x/>
    </i>
  </colItems>
  <dataFields count="1">
    <dataField name="Sum of Varianc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88CA07-FA8C-4DF0-B49B-280A64073D7E}" name="Var by 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83:D90" firstHeaderRow="1" firstDataRow="2" firstDataCol="1"/>
  <pivotFields count="10">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pivotField axis="axisRow" showAll="0" measureFilter="1">
      <items count="12">
        <item x="0"/>
        <item x="6"/>
        <item x="10"/>
        <item x="3"/>
        <item x="4"/>
        <item x="5"/>
        <item x="9"/>
        <item x="2"/>
        <item x="7"/>
        <item x="1"/>
        <item x="8"/>
        <item t="default"/>
      </items>
    </pivotField>
    <pivotField numFmtId="164" showAll="0"/>
    <pivotField numFmtId="164" showAll="0"/>
    <pivotField dataField="1" numFmtId="164" showAll="0"/>
    <pivotField numFmtId="10" showAll="0"/>
    <pivotField axis="axisCol" showAll="0">
      <items count="3">
        <item x="0"/>
        <item x="1"/>
        <item t="default"/>
      </items>
    </pivotField>
  </pivotFields>
  <rowFields count="1">
    <field x="4"/>
  </rowFields>
  <rowItems count="6">
    <i>
      <x/>
    </i>
    <i>
      <x v="2"/>
    </i>
    <i>
      <x v="7"/>
    </i>
    <i>
      <x v="8"/>
    </i>
    <i>
      <x v="9"/>
    </i>
    <i t="grand">
      <x/>
    </i>
  </rowItems>
  <colFields count="1">
    <field x="9"/>
  </colFields>
  <colItems count="3">
    <i>
      <x/>
    </i>
    <i>
      <x v="1"/>
    </i>
    <i t="grand">
      <x/>
    </i>
  </colItems>
  <dataFields count="1">
    <dataField name="Sum of Variance" fld="7" baseField="0" baseItem="0" numFmtId="164"/>
  </dataFields>
  <chartFormats count="7">
    <chartFormat chart="8" format="16"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2">
          <reference field="4294967294" count="1" selected="0">
            <x v="0"/>
          </reference>
          <reference field="9" count="1" selected="0">
            <x v="1"/>
          </reference>
        </references>
      </pivotArea>
    </chartFormat>
    <chartFormat chart="16" format="4" series="1">
      <pivotArea type="data" outline="0" fieldPosition="0">
        <references count="2">
          <reference field="4294967294" count="1" selected="0">
            <x v="0"/>
          </reference>
          <reference field="9" count="1" selected="0">
            <x v="0"/>
          </reference>
        </references>
      </pivotArea>
    </chartFormat>
    <chartFormat chart="16" format="5" series="1">
      <pivotArea type="data" outline="0" fieldPosition="0">
        <references count="2">
          <reference field="4294967294" count="1" selected="0">
            <x v="0"/>
          </reference>
          <reference field="9" count="1" selected="0">
            <x v="1"/>
          </reference>
        </references>
      </pivotArea>
    </chartFormat>
    <chartFormat chart="12" format="2"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B65D99-5D1C-4B06-9CAC-EE34DA14F4F0}" name="Sum Of Budge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9:A100" firstHeaderRow="1" firstDataRow="1" firstDataCol="0"/>
  <pivotFields count="10">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pivotField showAll="0">
      <items count="12">
        <item x="0"/>
        <item x="6"/>
        <item x="10"/>
        <item x="3"/>
        <item x="4"/>
        <item x="5"/>
        <item x="9"/>
        <item x="2"/>
        <item x="7"/>
        <item x="1"/>
        <item x="8"/>
        <item t="default"/>
      </items>
    </pivotField>
    <pivotField dataField="1" numFmtId="164" showAll="0"/>
    <pivotField numFmtId="164" showAll="0"/>
    <pivotField numFmtId="164" showAll="0"/>
    <pivotField numFmtId="10" showAll="0"/>
    <pivotField showAll="0">
      <items count="3">
        <item x="0"/>
        <item x="1"/>
        <item t="default"/>
      </items>
    </pivotField>
  </pivotFields>
  <rowItems count="1">
    <i/>
  </rowItems>
  <colItems count="1">
    <i/>
  </colItems>
  <dataFields count="1">
    <dataField name="Sum of Budge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10B6A3-6E30-4B7B-BCBE-833EA9BC5DAF}" name="Varianc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9:B56" firstHeaderRow="1" firstDataRow="1" firstDataCol="1"/>
  <pivotFields count="10">
    <pivotField showAll="0">
      <items count="13">
        <item x="0"/>
        <item x="1"/>
        <item x="2"/>
        <item x="3"/>
        <item x="4"/>
        <item x="5"/>
        <item x="6"/>
        <item x="7"/>
        <item x="8"/>
        <item x="9"/>
        <item x="10"/>
        <item x="11"/>
        <item t="default"/>
      </items>
    </pivotField>
    <pivotField showAll="0"/>
    <pivotField axis="axisRow" showAll="0">
      <items count="3">
        <item x="1"/>
        <item x="0"/>
        <item t="default"/>
      </items>
    </pivotField>
    <pivotField showAll="0"/>
    <pivotField showAll="0">
      <items count="12">
        <item x="0"/>
        <item x="6"/>
        <item x="10"/>
        <item x="3"/>
        <item x="4"/>
        <item x="5"/>
        <item x="9"/>
        <item x="2"/>
        <item x="7"/>
        <item x="1"/>
        <item x="8"/>
        <item t="default"/>
      </items>
    </pivotField>
    <pivotField numFmtId="164" showAll="0"/>
    <pivotField numFmtId="164" showAll="0"/>
    <pivotField dataField="1" numFmtId="164" showAll="0"/>
    <pivotField numFmtId="10" showAll="0"/>
    <pivotField axis="axisRow" showAll="0">
      <items count="3">
        <item x="0"/>
        <item x="1"/>
        <item t="default"/>
      </items>
    </pivotField>
  </pivotFields>
  <rowFields count="2">
    <field x="2"/>
    <field x="9"/>
  </rowFields>
  <rowItems count="7">
    <i>
      <x/>
    </i>
    <i r="1">
      <x/>
    </i>
    <i r="1">
      <x v="1"/>
    </i>
    <i>
      <x v="1"/>
    </i>
    <i r="1">
      <x/>
    </i>
    <i r="1">
      <x v="1"/>
    </i>
    <i t="grand">
      <x/>
    </i>
  </rowItems>
  <colItems count="1">
    <i/>
  </colItems>
  <dataFields count="1">
    <dataField name="Sum of Variance" fld="7" baseField="0" baseItem="0" numFmtId="164"/>
  </dataFields>
  <chartFormats count="15">
    <chartFormat chart="12" format="0" series="1">
      <pivotArea type="data" outline="0" fieldPosition="0">
        <references count="1">
          <reference field="4294967294" count="1" selected="0">
            <x v="0"/>
          </reference>
        </references>
      </pivotArea>
    </chartFormat>
    <chartFormat chart="12" format="1">
      <pivotArea type="data" outline="0" fieldPosition="0">
        <references count="3">
          <reference field="4294967294" count="1" selected="0">
            <x v="0"/>
          </reference>
          <reference field="2" count="1" selected="0">
            <x v="0"/>
          </reference>
          <reference field="9" count="1" selected="0">
            <x v="0"/>
          </reference>
        </references>
      </pivotArea>
    </chartFormat>
    <chartFormat chart="12" format="2">
      <pivotArea type="data" outline="0" fieldPosition="0">
        <references count="3">
          <reference field="4294967294" count="1" selected="0">
            <x v="0"/>
          </reference>
          <reference field="2" count="1" selected="0">
            <x v="0"/>
          </reference>
          <reference field="9" count="1" selected="0">
            <x v="1"/>
          </reference>
        </references>
      </pivotArea>
    </chartFormat>
    <chartFormat chart="12" format="3">
      <pivotArea type="data" outline="0" fieldPosition="0">
        <references count="3">
          <reference field="4294967294" count="1" selected="0">
            <x v="0"/>
          </reference>
          <reference field="2" count="1" selected="0">
            <x v="1"/>
          </reference>
          <reference field="9" count="1" selected="0">
            <x v="0"/>
          </reference>
        </references>
      </pivotArea>
    </chartFormat>
    <chartFormat chart="12" format="4">
      <pivotArea type="data" outline="0" fieldPosition="0">
        <references count="3">
          <reference field="4294967294" count="1" selected="0">
            <x v="0"/>
          </reference>
          <reference field="2" count="1" selected="0">
            <x v="1"/>
          </reference>
          <reference field="9" count="1" selected="0">
            <x v="1"/>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3">
          <reference field="4294967294" count="1" selected="0">
            <x v="0"/>
          </reference>
          <reference field="2" count="1" selected="0">
            <x v="0"/>
          </reference>
          <reference field="9" count="1" selected="0">
            <x v="0"/>
          </reference>
        </references>
      </pivotArea>
    </chartFormat>
    <chartFormat chart="17" format="8">
      <pivotArea type="data" outline="0" fieldPosition="0">
        <references count="3">
          <reference field="4294967294" count="1" selected="0">
            <x v="0"/>
          </reference>
          <reference field="2" count="1" selected="0">
            <x v="0"/>
          </reference>
          <reference field="9" count="1" selected="0">
            <x v="1"/>
          </reference>
        </references>
      </pivotArea>
    </chartFormat>
    <chartFormat chart="17" format="9">
      <pivotArea type="data" outline="0" fieldPosition="0">
        <references count="3">
          <reference field="4294967294" count="1" selected="0">
            <x v="0"/>
          </reference>
          <reference field="2" count="1" selected="0">
            <x v="1"/>
          </reference>
          <reference field="9" count="1" selected="0">
            <x v="0"/>
          </reference>
        </references>
      </pivotArea>
    </chartFormat>
    <chartFormat chart="17" format="10">
      <pivotArea type="data" outline="0" fieldPosition="0">
        <references count="3">
          <reference field="4294967294" count="1" selected="0">
            <x v="0"/>
          </reference>
          <reference field="2" count="1" selected="0">
            <x v="1"/>
          </reference>
          <reference field="9" count="1" selected="0">
            <x v="1"/>
          </reference>
        </references>
      </pivotArea>
    </chartFormat>
    <chartFormat chart="13" format="1">
      <pivotArea type="data" outline="0" fieldPosition="0">
        <references count="3">
          <reference field="4294967294" count="1" selected="0">
            <x v="0"/>
          </reference>
          <reference field="2" count="1" selected="0">
            <x v="0"/>
          </reference>
          <reference field="9" count="1" selected="0">
            <x v="0"/>
          </reference>
        </references>
      </pivotArea>
    </chartFormat>
    <chartFormat chart="13" format="2">
      <pivotArea type="data" outline="0" fieldPosition="0">
        <references count="3">
          <reference field="4294967294" count="1" selected="0">
            <x v="0"/>
          </reference>
          <reference field="2" count="1" selected="0">
            <x v="0"/>
          </reference>
          <reference field="9" count="1" selected="0">
            <x v="1"/>
          </reference>
        </references>
      </pivotArea>
    </chartFormat>
    <chartFormat chart="13" format="3">
      <pivotArea type="data" outline="0" fieldPosition="0">
        <references count="3">
          <reference field="4294967294" count="1" selected="0">
            <x v="0"/>
          </reference>
          <reference field="2" count="1" selected="0">
            <x v="1"/>
          </reference>
          <reference field="9" count="1" selected="0">
            <x v="0"/>
          </reference>
        </references>
      </pivotArea>
    </chartFormat>
    <chartFormat chart="13" format="4">
      <pivotArea type="data" outline="0" fieldPosition="0">
        <references count="3">
          <reference field="4294967294" count="1" selected="0">
            <x v="0"/>
          </reference>
          <reference field="2"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0DC2F4-F90C-491C-B70B-DB667C25F2E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B32" firstHeaderRow="1" firstDataRow="1" firstDataCol="1"/>
  <pivotFields count="10">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pivotField axis="axisRow" showAll="0" sortType="ascending">
      <items count="12">
        <item x="0"/>
        <item x="6"/>
        <item x="10"/>
        <item x="3"/>
        <item x="4"/>
        <item x="5"/>
        <item x="9"/>
        <item x="2"/>
        <item x="7"/>
        <item x="1"/>
        <item x="8"/>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164" showAll="0"/>
    <pivotField numFmtId="10" showAll="0"/>
    <pivotField showAll="0">
      <items count="3">
        <item x="0"/>
        <item x="1"/>
        <item t="default"/>
      </items>
    </pivotField>
  </pivotFields>
  <rowFields count="1">
    <field x="4"/>
  </rowFields>
  <rowItems count="12">
    <i>
      <x v="10"/>
    </i>
    <i>
      <x v="6"/>
    </i>
    <i>
      <x v="5"/>
    </i>
    <i>
      <x v="4"/>
    </i>
    <i>
      <x v="3"/>
    </i>
    <i>
      <x v="1"/>
    </i>
    <i>
      <x v="7"/>
    </i>
    <i>
      <x v="2"/>
    </i>
    <i>
      <x v="8"/>
    </i>
    <i>
      <x v="9"/>
    </i>
    <i>
      <x/>
    </i>
    <i t="grand">
      <x/>
    </i>
  </rowItems>
  <colItems count="1">
    <i/>
  </colItems>
  <dataFields count="1">
    <dataField name="Sum of Variance" fld="7" baseField="0" baseItem="0" numFmtId="164"/>
  </dataFields>
  <chartFormats count="1">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DFE6FF-629A-4314-B5D2-3A898E611F13}" name="Sum of Actu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02:A103" firstHeaderRow="1" firstDataRow="1" firstDataCol="0"/>
  <pivotFields count="10">
    <pivotField showAll="0">
      <items count="13">
        <item x="0"/>
        <item x="1"/>
        <item x="2"/>
        <item x="3"/>
        <item x="4"/>
        <item x="5"/>
        <item x="6"/>
        <item x="7"/>
        <item x="8"/>
        <item x="9"/>
        <item x="10"/>
        <item x="11"/>
        <item t="default"/>
      </items>
    </pivotField>
    <pivotField showAll="0"/>
    <pivotField showAll="0">
      <items count="3">
        <item x="1"/>
        <item x="0"/>
        <item t="default"/>
      </items>
    </pivotField>
    <pivotField showAll="0"/>
    <pivotField showAll="0">
      <items count="12">
        <item x="0"/>
        <item x="6"/>
        <item x="10"/>
        <item x="3"/>
        <item x="4"/>
        <item x="5"/>
        <item x="9"/>
        <item x="2"/>
        <item x="7"/>
        <item x="1"/>
        <item x="8"/>
        <item t="default"/>
      </items>
    </pivotField>
    <pivotField numFmtId="164" showAll="0"/>
    <pivotField dataField="1" numFmtId="164" showAll="0"/>
    <pivotField numFmtId="164" showAll="0"/>
    <pivotField numFmtId="10" showAll="0"/>
    <pivotField showAll="0">
      <items count="3">
        <item x="0"/>
        <item x="1"/>
        <item t="default"/>
      </items>
    </pivotField>
  </pivotFields>
  <rowItems count="1">
    <i/>
  </rowItems>
  <colItems count="1">
    <i/>
  </colItems>
  <dataFields count="1">
    <dataField name="Sum of Actual"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C6808D1-F5C6-4FBE-B8A0-63C9148EFABA}" sourceName="Month">
  <pivotTables>
    <pivotTable tabId="9" name="Line items"/>
    <pivotTable tabId="9" name="Variance Status"/>
    <pivotTable tabId="9" name="Var by Dept"/>
    <pivotTable tabId="9" name="Var By Quarter"/>
    <pivotTable tabId="9" name="Sum of Actual"/>
    <pivotTable tabId="9" name="Sum Of Budget"/>
    <pivotTable tabId="9" name="Sum of Variance"/>
  </pivotTables>
  <data>
    <tabular pivotCacheId="1940844193">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C1053F52-366A-42D5-AACF-F206BD393D29}" sourceName="Account Type">
  <pivotTables>
    <pivotTable tabId="9" name="Line items"/>
    <pivotTable tabId="9" name="Budget VS Actual"/>
    <pivotTable tabId="9" name="Var by Dept"/>
    <pivotTable tabId="9" name="Var By Quarter"/>
    <pivotTable tabId="9" name="Variance Status"/>
    <pivotTable tabId="9" name="Sum of Actual"/>
    <pivotTable tabId="9" name="Sum Of Budget"/>
    <pivotTable tabId="9" name="Sum of Variance"/>
  </pivotTables>
  <data>
    <tabular pivotCacheId="194084419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6541989-3349-469E-BCA2-653EC1EB3258}" sourceName="Department">
  <pivotTables>
    <pivotTable tabId="9" name="Line items"/>
    <pivotTable tabId="9" name="Budget VS Actual"/>
    <pivotTable tabId="9" name="Var By Quarter"/>
    <pivotTable tabId="9" name="Variance Status"/>
    <pivotTable tabId="9" name="Sum of Actual"/>
    <pivotTable tabId="9" name="Sum Of Budget"/>
    <pivotTable tabId="9" name="Sum of Variance"/>
  </pivotTables>
  <data>
    <tabular pivotCacheId="1940844193">
      <items count="11">
        <i x="0" s="1"/>
        <i x="6" s="1"/>
        <i x="10" s="1"/>
        <i x="3" s="1"/>
        <i x="4" s="1"/>
        <i x="5" s="1"/>
        <i x="9" s="1"/>
        <i x="2" s="1"/>
        <i x="7" s="1"/>
        <i x="1"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Status" xr10:uid="{6C130887-7FE1-419A-9E71-386E99E823D2}" sourceName="Budget Status">
  <pivotTables>
    <pivotTable tabId="9" name="Line items"/>
    <pivotTable tabId="9" name="Var by Dept"/>
    <pivotTable tabId="9" name="Budget VS Actual"/>
    <pivotTable tabId="9" name="Var By Quarter"/>
    <pivotTable tabId="9" name="Variance Status"/>
    <pivotTable tabId="9" name="Sum of Actual"/>
    <pivotTable tabId="9" name="Sum Of Budget"/>
  </pivotTables>
  <data>
    <tabular pivotCacheId="194084419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57ABD69-604B-40E5-A95A-DBF026FA2B9D}" cache="Slicer_Month" caption="Month" rowHeight="251883"/>
  <slicer name="Account Type" xr10:uid="{378D2B6E-DBCE-4B77-BBA3-B69E40AD0985}" cache="Slicer_Account_Type" caption="Account Type" rowHeight="251883"/>
  <slicer name="Department" xr10:uid="{9DA6B27E-0996-4183-95A0-23BC05622E10}" cache="Slicer_Department" caption="Department" rowHeight="251883"/>
  <slicer name="Budget Status" xr10:uid="{1F264C41-7313-4669-A9F3-3AD1CDCDA71A}" cache="Slicer_Budget_Status" caption="Budget Status" startItem="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3E435135-AC45-46BB-B549-AA86D973E18A}" cache="Slicer_Month" caption="Month" columnCount="2" rowHeight="182880"/>
  <slicer name="Account Type 1" xr10:uid="{353B80B1-0F82-4DC9-8B7C-BBFFE13504DE}" cache="Slicer_Account_Type" caption="Account Type" columnCount="2" rowHeight="182880"/>
  <slicer name="Department 1" xr10:uid="{1D97CA86-24CE-4B4B-97CC-A8A183B3D18C}" cache="Slicer_Department" caption="Department" rowHeight="182880"/>
  <slicer name="Budget Status 1" xr10:uid="{7484F97B-8562-404F-9250-02EC7654BEED}" cache="Slicer_Budget_Status" caption="Budget Status" columnCount="2" rowHeight="182880"/>
</slicers>
</file>

<file path=xl/theme/theme1.xml><?xml version="1.0" encoding="utf-8"?>
<a:theme xmlns:a="http://schemas.openxmlformats.org/drawingml/2006/main" name="Gallery">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8BECB9E-B998-4932-A7B4-8374448BA8AF}">
  <we:reference id="wa200005502" version="1.0.0.11" store="en-US" storeType="OMEX"/>
  <we:alternateReferences>
    <we:reference id="WA200005502" version="1.0.0.11" store="" storeType="OMEX"/>
  </we:alternateReferences>
  <we:properties>
    <we:property name="docId" value="&quot;VnYLsDg5TjqU4aChr_m4s&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ED4C1-542C-43F4-8F28-131BEBF72236}">
  <sheetPr>
    <tabColor theme="6" tint="0.39997558519241921"/>
  </sheetPr>
  <dimension ref="A1:J817"/>
  <sheetViews>
    <sheetView workbookViewId="0">
      <selection activeCell="L12" sqref="L12"/>
    </sheetView>
  </sheetViews>
  <sheetFormatPr defaultRowHeight="16.5" x14ac:dyDescent="0.5"/>
  <cols>
    <col min="1" max="1" width="5.90625" customWidth="1"/>
    <col min="2" max="2" width="7.08984375" customWidth="1"/>
    <col min="3" max="3" width="15" customWidth="1"/>
    <col min="4" max="4" width="18.36328125" customWidth="1"/>
    <col min="5" max="5" width="21.36328125" customWidth="1"/>
    <col min="6" max="7" width="8.6328125" style="4" customWidth="1"/>
    <col min="8" max="8" width="8.6328125" customWidth="1"/>
    <col min="9" max="9" width="10.08984375" style="9" customWidth="1"/>
    <col min="10" max="10" width="12.36328125" customWidth="1"/>
  </cols>
  <sheetData>
    <row r="1" spans="1:10" s="5" customFormat="1" x14ac:dyDescent="0.5">
      <c r="A1" s="5" t="s">
        <v>0</v>
      </c>
      <c r="B1" s="5" t="s">
        <v>77</v>
      </c>
      <c r="C1" s="5" t="s">
        <v>78</v>
      </c>
      <c r="D1" s="5" t="s">
        <v>75</v>
      </c>
      <c r="E1" s="5" t="s">
        <v>1</v>
      </c>
      <c r="F1" s="6" t="s">
        <v>2</v>
      </c>
      <c r="G1" s="6" t="s">
        <v>3</v>
      </c>
      <c r="H1" s="5" t="s">
        <v>73</v>
      </c>
      <c r="I1" s="8" t="s">
        <v>80</v>
      </c>
      <c r="J1" s="5" t="s">
        <v>79</v>
      </c>
    </row>
    <row r="2" spans="1:10" x14ac:dyDescent="0.5">
      <c r="A2" t="s">
        <v>4</v>
      </c>
      <c r="B2" t="str">
        <f>CHOOSE(MATCH(A2,{"Jan","Feb","Mar","Apr","May","Jun","Jul","Aug","Sep","Oct","Nov","Dec"},0), "Q1","Q1","Q1", "Q2","Q2","Q2", "Q3","Q3","Q3", "Q4","Q4","Q4")</f>
        <v>Q1</v>
      </c>
      <c r="C2" t="s">
        <v>5</v>
      </c>
      <c r="D2" t="s">
        <v>6</v>
      </c>
      <c r="E2" t="s">
        <v>76</v>
      </c>
      <c r="F2" s="4">
        <v>245000</v>
      </c>
      <c r="G2" s="4">
        <v>247782</v>
      </c>
      <c r="H2" s="7">
        <f>G2-F2</f>
        <v>2782</v>
      </c>
      <c r="I2" s="9">
        <f>SUM(G2-F2)/F2</f>
        <v>1.1355102040816327E-2</v>
      </c>
      <c r="J2" t="str">
        <f>IF(C2="Revenue",IF(G2&gt;F2,"Favourable","Unfavourable"),IF(G2&lt;F2,"Favourable","Unfavourable"))</f>
        <v>Favourable</v>
      </c>
    </row>
    <row r="3" spans="1:10" x14ac:dyDescent="0.5">
      <c r="A3" t="s">
        <v>7</v>
      </c>
      <c r="B3" t="str">
        <f>CHOOSE(MATCH(A3,{"Jan","Feb","Mar","Apr","May","Jun","Jul","Aug","Sep","Oct","Nov","Dec"},0), "Q1","Q1","Q1", "Q2","Q2","Q2", "Q3","Q3","Q3", "Q4","Q4","Q4")</f>
        <v>Q1</v>
      </c>
      <c r="C3" t="s">
        <v>5</v>
      </c>
      <c r="D3" t="s">
        <v>6</v>
      </c>
      <c r="E3" t="s">
        <v>76</v>
      </c>
      <c r="F3" s="4">
        <v>252000</v>
      </c>
      <c r="G3" s="4">
        <v>254426</v>
      </c>
      <c r="H3" s="7">
        <f t="shared" ref="H3:H66" si="0">G3-F3</f>
        <v>2426</v>
      </c>
      <c r="I3" s="9">
        <f t="shared" ref="I3:I66" si="1">SUM(G3-F3)/F3</f>
        <v>9.6269841269841262E-3</v>
      </c>
      <c r="J3" t="str">
        <f t="shared" ref="J3:J66" si="2">IF(C3="Revenue",IF(G3&gt;F3,"Favourable","Unfavourable"),IF(G3&lt;F3,"Favourable","Unfavourable"))</f>
        <v>Favourable</v>
      </c>
    </row>
    <row r="4" spans="1:10" x14ac:dyDescent="0.5">
      <c r="A4" t="s">
        <v>8</v>
      </c>
      <c r="B4" t="str">
        <f>CHOOSE(MATCH(A4,{"Jan","Feb","Mar","Apr","May","Jun","Jul","Aug","Sep","Oct","Nov","Dec"},0), "Q1","Q1","Q1", "Q2","Q2","Q2", "Q3","Q3","Q3", "Q4","Q4","Q4")</f>
        <v>Q1</v>
      </c>
      <c r="C4" t="s">
        <v>5</v>
      </c>
      <c r="D4" t="s">
        <v>6</v>
      </c>
      <c r="E4" t="s">
        <v>76</v>
      </c>
      <c r="F4" s="4">
        <v>308000</v>
      </c>
      <c r="G4" s="4">
        <v>312103</v>
      </c>
      <c r="H4" s="7">
        <f t="shared" si="0"/>
        <v>4103</v>
      </c>
      <c r="I4" s="9">
        <f t="shared" si="1"/>
        <v>1.3321428571428571E-2</v>
      </c>
      <c r="J4" t="str">
        <f t="shared" si="2"/>
        <v>Favourable</v>
      </c>
    </row>
    <row r="5" spans="1:10" x14ac:dyDescent="0.5">
      <c r="A5" t="s">
        <v>9</v>
      </c>
      <c r="B5" t="str">
        <f>CHOOSE(MATCH(A5,{"Jan","Feb","Mar","Apr","May","Jun","Jul","Aug","Sep","Oct","Nov","Dec"},0), "Q1","Q1","Q1", "Q2","Q2","Q2", "Q3","Q3","Q3", "Q4","Q4","Q4")</f>
        <v>Q2</v>
      </c>
      <c r="C5" t="s">
        <v>5</v>
      </c>
      <c r="D5" t="s">
        <v>6</v>
      </c>
      <c r="E5" t="s">
        <v>76</v>
      </c>
      <c r="F5" s="4">
        <v>322000</v>
      </c>
      <c r="G5" s="4">
        <v>342002</v>
      </c>
      <c r="H5" s="7">
        <f t="shared" si="0"/>
        <v>20002</v>
      </c>
      <c r="I5" s="9">
        <f t="shared" si="1"/>
        <v>6.2118012422360251E-2</v>
      </c>
      <c r="J5" t="str">
        <f t="shared" si="2"/>
        <v>Favourable</v>
      </c>
    </row>
    <row r="6" spans="1:10" x14ac:dyDescent="0.5">
      <c r="A6" t="s">
        <v>10</v>
      </c>
      <c r="B6" t="str">
        <f>CHOOSE(MATCH(A6,{"Jan","Feb","Mar","Apr","May","Jun","Jul","Aug","Sep","Oct","Nov","Dec"},0), "Q1","Q1","Q1", "Q2","Q2","Q2", "Q3","Q3","Q3", "Q4","Q4","Q4")</f>
        <v>Q2</v>
      </c>
      <c r="C6" t="s">
        <v>5</v>
      </c>
      <c r="D6" t="s">
        <v>6</v>
      </c>
      <c r="E6" t="s">
        <v>76</v>
      </c>
      <c r="F6" s="4">
        <v>350000</v>
      </c>
      <c r="G6" s="4">
        <v>354321</v>
      </c>
      <c r="H6" s="7">
        <f t="shared" si="0"/>
        <v>4321</v>
      </c>
      <c r="I6" s="9">
        <f t="shared" si="1"/>
        <v>1.2345714285714286E-2</v>
      </c>
      <c r="J6" t="str">
        <f t="shared" si="2"/>
        <v>Favourable</v>
      </c>
    </row>
    <row r="7" spans="1:10" x14ac:dyDescent="0.5">
      <c r="A7" t="s">
        <v>11</v>
      </c>
      <c r="B7" t="str">
        <f>CHOOSE(MATCH(A7,{"Jan","Feb","Mar","Apr","May","Jun","Jul","Aug","Sep","Oct","Nov","Dec"},0), "Q1","Q1","Q1", "Q2","Q2","Q2", "Q3","Q3","Q3", "Q4","Q4","Q4")</f>
        <v>Q2</v>
      </c>
      <c r="C7" t="s">
        <v>5</v>
      </c>
      <c r="D7" t="s">
        <v>6</v>
      </c>
      <c r="E7" t="s">
        <v>76</v>
      </c>
      <c r="F7" s="4">
        <v>367500</v>
      </c>
      <c r="G7" s="4">
        <v>341833</v>
      </c>
      <c r="H7" s="7">
        <f t="shared" si="0"/>
        <v>-25667</v>
      </c>
      <c r="I7" s="9">
        <f t="shared" si="1"/>
        <v>-6.9842176870748299E-2</v>
      </c>
      <c r="J7" t="str">
        <f t="shared" si="2"/>
        <v>Unfavourable</v>
      </c>
    </row>
    <row r="8" spans="1:10" x14ac:dyDescent="0.5">
      <c r="A8" t="s">
        <v>12</v>
      </c>
      <c r="B8" t="str">
        <f>CHOOSE(MATCH(A8,{"Jan","Feb","Mar","Apr","May","Jun","Jul","Aug","Sep","Oct","Nov","Dec"},0), "Q1","Q1","Q1", "Q2","Q2","Q2", "Q3","Q3","Q3", "Q4","Q4","Q4")</f>
        <v>Q3</v>
      </c>
      <c r="C8" t="s">
        <v>5</v>
      </c>
      <c r="D8" t="s">
        <v>6</v>
      </c>
      <c r="E8" t="s">
        <v>76</v>
      </c>
      <c r="F8" s="4">
        <v>332500</v>
      </c>
      <c r="G8" s="4">
        <v>345780</v>
      </c>
      <c r="H8" s="7">
        <f t="shared" si="0"/>
        <v>13280</v>
      </c>
      <c r="I8" s="9">
        <f t="shared" si="1"/>
        <v>3.993984962406015E-2</v>
      </c>
      <c r="J8" t="str">
        <f t="shared" si="2"/>
        <v>Favourable</v>
      </c>
    </row>
    <row r="9" spans="1:10" x14ac:dyDescent="0.5">
      <c r="A9" t="s">
        <v>13</v>
      </c>
      <c r="B9" t="str">
        <f>CHOOSE(MATCH(A9,{"Jan","Feb","Mar","Apr","May","Jun","Jul","Aug","Sep","Oct","Nov","Dec"},0), "Q1","Q1","Q1", "Q2","Q2","Q2", "Q3","Q3","Q3", "Q4","Q4","Q4")</f>
        <v>Q3</v>
      </c>
      <c r="C9" t="s">
        <v>5</v>
      </c>
      <c r="D9" t="s">
        <v>6</v>
      </c>
      <c r="E9" t="s">
        <v>76</v>
      </c>
      <c r="F9" s="4">
        <v>315000</v>
      </c>
      <c r="G9" s="4">
        <v>316247</v>
      </c>
      <c r="H9" s="7">
        <f t="shared" si="0"/>
        <v>1247</v>
      </c>
      <c r="I9" s="9">
        <f t="shared" si="1"/>
        <v>3.9587301587301589E-3</v>
      </c>
      <c r="J9" t="str">
        <f t="shared" si="2"/>
        <v>Favourable</v>
      </c>
    </row>
    <row r="10" spans="1:10" x14ac:dyDescent="0.5">
      <c r="A10" t="s">
        <v>14</v>
      </c>
      <c r="B10" t="str">
        <f>CHOOSE(MATCH(A10,{"Jan","Feb","Mar","Apr","May","Jun","Jul","Aug","Sep","Oct","Nov","Dec"},0), "Q1","Q1","Q1", "Q2","Q2","Q2", "Q3","Q3","Q3", "Q4","Q4","Q4")</f>
        <v>Q3</v>
      </c>
      <c r="C10" t="s">
        <v>5</v>
      </c>
      <c r="D10" t="s">
        <v>6</v>
      </c>
      <c r="E10" t="s">
        <v>76</v>
      </c>
      <c r="F10" s="4">
        <v>367500</v>
      </c>
      <c r="G10" s="4">
        <v>370066</v>
      </c>
      <c r="H10" s="7">
        <f t="shared" si="0"/>
        <v>2566</v>
      </c>
      <c r="I10" s="9">
        <f t="shared" si="1"/>
        <v>6.9823129251700682E-3</v>
      </c>
      <c r="J10" t="str">
        <f t="shared" si="2"/>
        <v>Favourable</v>
      </c>
    </row>
    <row r="11" spans="1:10" x14ac:dyDescent="0.5">
      <c r="A11" t="s">
        <v>15</v>
      </c>
      <c r="B11" t="str">
        <f>CHOOSE(MATCH(A11,{"Jan","Feb","Mar","Apr","May","Jun","Jul","Aug","Sep","Oct","Nov","Dec"},0), "Q1","Q1","Q1", "Q2","Q2","Q2", "Q3","Q3","Q3", "Q4","Q4","Q4")</f>
        <v>Q4</v>
      </c>
      <c r="C11" t="s">
        <v>5</v>
      </c>
      <c r="D11" t="s">
        <v>6</v>
      </c>
      <c r="E11" t="s">
        <v>76</v>
      </c>
      <c r="F11" s="4">
        <v>385000</v>
      </c>
      <c r="G11" s="4">
        <v>395377</v>
      </c>
      <c r="H11" s="7">
        <f t="shared" si="0"/>
        <v>10377</v>
      </c>
      <c r="I11" s="9">
        <f t="shared" si="1"/>
        <v>2.6953246753246753E-2</v>
      </c>
      <c r="J11" t="str">
        <f t="shared" si="2"/>
        <v>Favourable</v>
      </c>
    </row>
    <row r="12" spans="1:10" x14ac:dyDescent="0.5">
      <c r="A12" t="s">
        <v>16</v>
      </c>
      <c r="B12" t="str">
        <f>CHOOSE(MATCH(A12,{"Jan","Feb","Mar","Apr","May","Jun","Jul","Aug","Sep","Oct","Nov","Dec"},0), "Q1","Q1","Q1", "Q2","Q2","Q2", "Q3","Q3","Q3", "Q4","Q4","Q4")</f>
        <v>Q4</v>
      </c>
      <c r="C12" t="s">
        <v>5</v>
      </c>
      <c r="D12" t="s">
        <v>6</v>
      </c>
      <c r="E12" t="s">
        <v>76</v>
      </c>
      <c r="F12" s="4">
        <v>402500</v>
      </c>
      <c r="G12" s="4">
        <v>436285</v>
      </c>
      <c r="H12" s="7">
        <f t="shared" si="0"/>
        <v>33785</v>
      </c>
      <c r="I12" s="9">
        <f t="shared" si="1"/>
        <v>8.3937888198757762E-2</v>
      </c>
      <c r="J12" t="str">
        <f t="shared" si="2"/>
        <v>Favourable</v>
      </c>
    </row>
    <row r="13" spans="1:10" x14ac:dyDescent="0.5">
      <c r="A13" t="s">
        <v>17</v>
      </c>
      <c r="B13" t="str">
        <f>CHOOSE(MATCH(A13,{"Jan","Feb","Mar","Apr","May","Jun","Jul","Aug","Sep","Oct","Nov","Dec"},0), "Q1","Q1","Q1", "Q2","Q2","Q2", "Q3","Q3","Q3", "Q4","Q4","Q4")</f>
        <v>Q4</v>
      </c>
      <c r="C13" t="s">
        <v>5</v>
      </c>
      <c r="D13" t="s">
        <v>6</v>
      </c>
      <c r="E13" t="s">
        <v>76</v>
      </c>
      <c r="F13" s="4">
        <v>553000</v>
      </c>
      <c r="G13" s="4">
        <v>630317</v>
      </c>
      <c r="H13" s="7">
        <f t="shared" si="0"/>
        <v>77317</v>
      </c>
      <c r="I13" s="9">
        <f t="shared" si="1"/>
        <v>0.13981374321880652</v>
      </c>
      <c r="J13" t="str">
        <f t="shared" si="2"/>
        <v>Favourable</v>
      </c>
    </row>
    <row r="14" spans="1:10" x14ac:dyDescent="0.5">
      <c r="A14" t="s">
        <v>4</v>
      </c>
      <c r="B14" t="str">
        <f>CHOOSE(MATCH(A14,{"Jan","Feb","Mar","Apr","May","Jun","Jul","Aug","Sep","Oct","Nov","Dec"},0), "Q1","Q1","Q1", "Q2","Q2","Q2", "Q3","Q3","Q3", "Q4","Q4","Q4")</f>
        <v>Q1</v>
      </c>
      <c r="C14" t="s">
        <v>5</v>
      </c>
      <c r="D14" t="s">
        <v>18</v>
      </c>
      <c r="E14" t="s">
        <v>76</v>
      </c>
      <c r="F14" s="4">
        <v>105000</v>
      </c>
      <c r="G14" s="4">
        <v>111237</v>
      </c>
      <c r="H14" s="7">
        <f t="shared" si="0"/>
        <v>6237</v>
      </c>
      <c r="I14" s="9">
        <f t="shared" si="1"/>
        <v>5.9400000000000001E-2</v>
      </c>
      <c r="J14" t="str">
        <f t="shared" si="2"/>
        <v>Favourable</v>
      </c>
    </row>
    <row r="15" spans="1:10" x14ac:dyDescent="0.5">
      <c r="A15" t="s">
        <v>7</v>
      </c>
      <c r="B15" t="str">
        <f>CHOOSE(MATCH(A15,{"Jan","Feb","Mar","Apr","May","Jun","Jul","Aug","Sep","Oct","Nov","Dec"},0), "Q1","Q1","Q1", "Q2","Q2","Q2", "Q3","Q3","Q3", "Q4","Q4","Q4")</f>
        <v>Q1</v>
      </c>
      <c r="C15" t="s">
        <v>5</v>
      </c>
      <c r="D15" t="s">
        <v>18</v>
      </c>
      <c r="E15" t="s">
        <v>76</v>
      </c>
      <c r="F15" s="4">
        <v>108000</v>
      </c>
      <c r="G15" s="4">
        <v>110876</v>
      </c>
      <c r="H15" s="7">
        <f t="shared" si="0"/>
        <v>2876</v>
      </c>
      <c r="I15" s="9">
        <f t="shared" si="1"/>
        <v>2.6629629629629628E-2</v>
      </c>
      <c r="J15" t="str">
        <f t="shared" si="2"/>
        <v>Favourable</v>
      </c>
    </row>
    <row r="16" spans="1:10" x14ac:dyDescent="0.5">
      <c r="A16" t="s">
        <v>8</v>
      </c>
      <c r="B16" t="str">
        <f>CHOOSE(MATCH(A16,{"Jan","Feb","Mar","Apr","May","Jun","Jul","Aug","Sep","Oct","Nov","Dec"},0), "Q1","Q1","Q1", "Q2","Q2","Q2", "Q3","Q3","Q3", "Q4","Q4","Q4")</f>
        <v>Q1</v>
      </c>
      <c r="C16" t="s">
        <v>5</v>
      </c>
      <c r="D16" t="s">
        <v>18</v>
      </c>
      <c r="E16" t="s">
        <v>76</v>
      </c>
      <c r="F16" s="4">
        <v>132000</v>
      </c>
      <c r="G16" s="4">
        <v>128792</v>
      </c>
      <c r="H16" s="7">
        <f t="shared" si="0"/>
        <v>-3208</v>
      </c>
      <c r="I16" s="9">
        <f t="shared" si="1"/>
        <v>-2.4303030303030302E-2</v>
      </c>
      <c r="J16" t="str">
        <f t="shared" si="2"/>
        <v>Unfavourable</v>
      </c>
    </row>
    <row r="17" spans="1:10" x14ac:dyDescent="0.5">
      <c r="A17" t="s">
        <v>9</v>
      </c>
      <c r="B17" t="str">
        <f>CHOOSE(MATCH(A17,{"Jan","Feb","Mar","Apr","May","Jun","Jul","Aug","Sep","Oct","Nov","Dec"},0), "Q1","Q1","Q1", "Q2","Q2","Q2", "Q3","Q3","Q3", "Q4","Q4","Q4")</f>
        <v>Q2</v>
      </c>
      <c r="C17" t="s">
        <v>5</v>
      </c>
      <c r="D17" t="s">
        <v>18</v>
      </c>
      <c r="E17" t="s">
        <v>76</v>
      </c>
      <c r="F17" s="4">
        <v>138000</v>
      </c>
      <c r="G17" s="4">
        <v>132359</v>
      </c>
      <c r="H17" s="7">
        <f t="shared" si="0"/>
        <v>-5641</v>
      </c>
      <c r="I17" s="9">
        <f t="shared" si="1"/>
        <v>-4.0876811594202901E-2</v>
      </c>
      <c r="J17" t="str">
        <f t="shared" si="2"/>
        <v>Unfavourable</v>
      </c>
    </row>
    <row r="18" spans="1:10" x14ac:dyDescent="0.5">
      <c r="A18" t="s">
        <v>10</v>
      </c>
      <c r="B18" t="str">
        <f>CHOOSE(MATCH(A18,{"Jan","Feb","Mar","Apr","May","Jun","Jul","Aug","Sep","Oct","Nov","Dec"},0), "Q1","Q1","Q1", "Q2","Q2","Q2", "Q3","Q3","Q3", "Q4","Q4","Q4")</f>
        <v>Q2</v>
      </c>
      <c r="C18" t="s">
        <v>5</v>
      </c>
      <c r="D18" t="s">
        <v>18</v>
      </c>
      <c r="E18" t="s">
        <v>76</v>
      </c>
      <c r="F18" s="4">
        <v>150000</v>
      </c>
      <c r="G18" s="4">
        <v>155217</v>
      </c>
      <c r="H18" s="7">
        <f t="shared" si="0"/>
        <v>5217</v>
      </c>
      <c r="I18" s="9">
        <f t="shared" si="1"/>
        <v>3.4779999999999998E-2</v>
      </c>
      <c r="J18" t="str">
        <f t="shared" si="2"/>
        <v>Favourable</v>
      </c>
    </row>
    <row r="19" spans="1:10" x14ac:dyDescent="0.5">
      <c r="A19" t="s">
        <v>11</v>
      </c>
      <c r="B19" t="str">
        <f>CHOOSE(MATCH(A19,{"Jan","Feb","Mar","Apr","May","Jun","Jul","Aug","Sep","Oct","Nov","Dec"},0), "Q1","Q1","Q1", "Q2","Q2","Q2", "Q3","Q3","Q3", "Q4","Q4","Q4")</f>
        <v>Q2</v>
      </c>
      <c r="C19" t="s">
        <v>5</v>
      </c>
      <c r="D19" t="s">
        <v>18</v>
      </c>
      <c r="E19" t="s">
        <v>76</v>
      </c>
      <c r="F19" s="4">
        <v>157500</v>
      </c>
      <c r="G19" s="4">
        <v>173040</v>
      </c>
      <c r="H19" s="7">
        <f t="shared" si="0"/>
        <v>15540</v>
      </c>
      <c r="I19" s="9">
        <f t="shared" si="1"/>
        <v>9.8666666666666666E-2</v>
      </c>
      <c r="J19" t="str">
        <f t="shared" si="2"/>
        <v>Favourable</v>
      </c>
    </row>
    <row r="20" spans="1:10" x14ac:dyDescent="0.5">
      <c r="A20" t="s">
        <v>12</v>
      </c>
      <c r="B20" t="str">
        <f>CHOOSE(MATCH(A20,{"Jan","Feb","Mar","Apr","May","Jun","Jul","Aug","Sep","Oct","Nov","Dec"},0), "Q1","Q1","Q1", "Q2","Q2","Q2", "Q3","Q3","Q3", "Q4","Q4","Q4")</f>
        <v>Q3</v>
      </c>
      <c r="C20" t="s">
        <v>5</v>
      </c>
      <c r="D20" t="s">
        <v>18</v>
      </c>
      <c r="E20" t="s">
        <v>76</v>
      </c>
      <c r="F20" s="4">
        <v>142500</v>
      </c>
      <c r="G20" s="4">
        <v>145706</v>
      </c>
      <c r="H20" s="7">
        <f t="shared" si="0"/>
        <v>3206</v>
      </c>
      <c r="I20" s="9">
        <f t="shared" si="1"/>
        <v>2.2498245614035087E-2</v>
      </c>
      <c r="J20" t="str">
        <f t="shared" si="2"/>
        <v>Favourable</v>
      </c>
    </row>
    <row r="21" spans="1:10" x14ac:dyDescent="0.5">
      <c r="A21" t="s">
        <v>13</v>
      </c>
      <c r="B21" t="str">
        <f>CHOOSE(MATCH(A21,{"Jan","Feb","Mar","Apr","May","Jun","Jul","Aug","Sep","Oct","Nov","Dec"},0), "Q1","Q1","Q1", "Q2","Q2","Q2", "Q3","Q3","Q3", "Q4","Q4","Q4")</f>
        <v>Q3</v>
      </c>
      <c r="C21" t="s">
        <v>5</v>
      </c>
      <c r="D21" t="s">
        <v>18</v>
      </c>
      <c r="E21" t="s">
        <v>76</v>
      </c>
      <c r="F21" s="4">
        <v>135000</v>
      </c>
      <c r="G21" s="4">
        <v>136839</v>
      </c>
      <c r="H21" s="7">
        <f t="shared" si="0"/>
        <v>1839</v>
      </c>
      <c r="I21" s="9">
        <f t="shared" si="1"/>
        <v>1.3622222222222223E-2</v>
      </c>
      <c r="J21" t="str">
        <f t="shared" si="2"/>
        <v>Favourable</v>
      </c>
    </row>
    <row r="22" spans="1:10" x14ac:dyDescent="0.5">
      <c r="A22" t="s">
        <v>14</v>
      </c>
      <c r="B22" t="str">
        <f>CHOOSE(MATCH(A22,{"Jan","Feb","Mar","Apr","May","Jun","Jul","Aug","Sep","Oct","Nov","Dec"},0), "Q1","Q1","Q1", "Q2","Q2","Q2", "Q3","Q3","Q3", "Q4","Q4","Q4")</f>
        <v>Q3</v>
      </c>
      <c r="C22" t="s">
        <v>5</v>
      </c>
      <c r="D22" t="s">
        <v>18</v>
      </c>
      <c r="E22" t="s">
        <v>76</v>
      </c>
      <c r="F22" s="4">
        <v>157500</v>
      </c>
      <c r="G22" s="4">
        <v>165675</v>
      </c>
      <c r="H22" s="7">
        <f t="shared" si="0"/>
        <v>8175</v>
      </c>
      <c r="I22" s="9">
        <f t="shared" si="1"/>
        <v>5.1904761904761905E-2</v>
      </c>
      <c r="J22" t="str">
        <f t="shared" si="2"/>
        <v>Favourable</v>
      </c>
    </row>
    <row r="23" spans="1:10" x14ac:dyDescent="0.5">
      <c r="A23" t="s">
        <v>15</v>
      </c>
      <c r="B23" t="str">
        <f>CHOOSE(MATCH(A23,{"Jan","Feb","Mar","Apr","May","Jun","Jul","Aug","Sep","Oct","Nov","Dec"},0), "Q1","Q1","Q1", "Q2","Q2","Q2", "Q3","Q3","Q3", "Q4","Q4","Q4")</f>
        <v>Q4</v>
      </c>
      <c r="C23" t="s">
        <v>5</v>
      </c>
      <c r="D23" t="s">
        <v>18</v>
      </c>
      <c r="E23" t="s">
        <v>76</v>
      </c>
      <c r="F23" s="4">
        <v>165000</v>
      </c>
      <c r="G23" s="4">
        <v>153910</v>
      </c>
      <c r="H23" s="7">
        <f t="shared" si="0"/>
        <v>-11090</v>
      </c>
      <c r="I23" s="9">
        <f t="shared" si="1"/>
        <v>-6.7212121212121209E-2</v>
      </c>
      <c r="J23" t="str">
        <f t="shared" si="2"/>
        <v>Unfavourable</v>
      </c>
    </row>
    <row r="24" spans="1:10" x14ac:dyDescent="0.5">
      <c r="A24" t="s">
        <v>16</v>
      </c>
      <c r="B24" t="str">
        <f>CHOOSE(MATCH(A24,{"Jan","Feb","Mar","Apr","May","Jun","Jul","Aug","Sep","Oct","Nov","Dec"},0), "Q1","Q1","Q1", "Q2","Q2","Q2", "Q3","Q3","Q3", "Q4","Q4","Q4")</f>
        <v>Q4</v>
      </c>
      <c r="C24" t="s">
        <v>5</v>
      </c>
      <c r="D24" t="s">
        <v>18</v>
      </c>
      <c r="E24" t="s">
        <v>76</v>
      </c>
      <c r="F24" s="4">
        <v>172500</v>
      </c>
      <c r="G24" s="4">
        <v>181343</v>
      </c>
      <c r="H24" s="7">
        <f t="shared" si="0"/>
        <v>8843</v>
      </c>
      <c r="I24" s="9">
        <f t="shared" si="1"/>
        <v>5.1263768115942028E-2</v>
      </c>
      <c r="J24" t="str">
        <f t="shared" si="2"/>
        <v>Favourable</v>
      </c>
    </row>
    <row r="25" spans="1:10" x14ac:dyDescent="0.5">
      <c r="A25" t="s">
        <v>17</v>
      </c>
      <c r="B25" t="str">
        <f>CHOOSE(MATCH(A25,{"Jan","Feb","Mar","Apr","May","Jun","Jul","Aug","Sep","Oct","Nov","Dec"},0), "Q1","Q1","Q1", "Q2","Q2","Q2", "Q3","Q3","Q3", "Q4","Q4","Q4")</f>
        <v>Q4</v>
      </c>
      <c r="C25" t="s">
        <v>5</v>
      </c>
      <c r="D25" t="s">
        <v>18</v>
      </c>
      <c r="E25" t="s">
        <v>76</v>
      </c>
      <c r="F25" s="4">
        <v>237000</v>
      </c>
      <c r="G25" s="4">
        <v>260563</v>
      </c>
      <c r="H25" s="7">
        <f t="shared" si="0"/>
        <v>23563</v>
      </c>
      <c r="I25" s="9">
        <f t="shared" si="1"/>
        <v>9.9421940928270044E-2</v>
      </c>
      <c r="J25" t="str">
        <f t="shared" si="2"/>
        <v>Favourable</v>
      </c>
    </row>
    <row r="26" spans="1:10" x14ac:dyDescent="0.5">
      <c r="A26" t="s">
        <v>4</v>
      </c>
      <c r="B26" t="str">
        <f>CHOOSE(MATCH(A26,{"Jan","Feb","Mar","Apr","May","Jun","Jul","Aug","Sep","Oct","Nov","Dec"},0), "Q1","Q1","Q1", "Q2","Q2","Q2", "Q3","Q3","Q3", "Q4","Q4","Q4")</f>
        <v>Q1</v>
      </c>
      <c r="C26" t="s">
        <v>5</v>
      </c>
      <c r="D26" t="s">
        <v>19</v>
      </c>
      <c r="E26" t="s">
        <v>76</v>
      </c>
      <c r="F26" s="4">
        <v>145833</v>
      </c>
      <c r="G26" s="4">
        <v>156392</v>
      </c>
      <c r="H26" s="7">
        <f t="shared" si="0"/>
        <v>10559</v>
      </c>
      <c r="I26" s="9">
        <f t="shared" si="1"/>
        <v>7.240473692511297E-2</v>
      </c>
      <c r="J26" t="str">
        <f t="shared" si="2"/>
        <v>Favourable</v>
      </c>
    </row>
    <row r="27" spans="1:10" x14ac:dyDescent="0.5">
      <c r="A27" t="s">
        <v>7</v>
      </c>
      <c r="B27" t="str">
        <f>CHOOSE(MATCH(A27,{"Jan","Feb","Mar","Apr","May","Jun","Jul","Aug","Sep","Oct","Nov","Dec"},0), "Q1","Q1","Q1", "Q2","Q2","Q2", "Q3","Q3","Q3", "Q4","Q4","Q4")</f>
        <v>Q1</v>
      </c>
      <c r="C27" t="s">
        <v>5</v>
      </c>
      <c r="D27" t="s">
        <v>19</v>
      </c>
      <c r="E27" t="s">
        <v>76</v>
      </c>
      <c r="F27" s="4">
        <v>150000</v>
      </c>
      <c r="G27" s="4">
        <v>150834</v>
      </c>
      <c r="H27" s="7">
        <f t="shared" si="0"/>
        <v>834</v>
      </c>
      <c r="I27" s="9">
        <f t="shared" si="1"/>
        <v>5.5599999999999998E-3</v>
      </c>
      <c r="J27" t="str">
        <f t="shared" si="2"/>
        <v>Favourable</v>
      </c>
    </row>
    <row r="28" spans="1:10" x14ac:dyDescent="0.5">
      <c r="A28" t="s">
        <v>8</v>
      </c>
      <c r="B28" t="str">
        <f>CHOOSE(MATCH(A28,{"Jan","Feb","Mar","Apr","May","Jun","Jul","Aug","Sep","Oct","Nov","Dec"},0), "Q1","Q1","Q1", "Q2","Q2","Q2", "Q3","Q3","Q3", "Q4","Q4","Q4")</f>
        <v>Q1</v>
      </c>
      <c r="C28" t="s">
        <v>5</v>
      </c>
      <c r="D28" t="s">
        <v>19</v>
      </c>
      <c r="E28" t="s">
        <v>76</v>
      </c>
      <c r="F28" s="4">
        <v>183333</v>
      </c>
      <c r="G28" s="4">
        <v>191142</v>
      </c>
      <c r="H28" s="7">
        <f t="shared" si="0"/>
        <v>7809</v>
      </c>
      <c r="I28" s="9">
        <f t="shared" si="1"/>
        <v>4.2594622899314365E-2</v>
      </c>
      <c r="J28" t="str">
        <f t="shared" si="2"/>
        <v>Favourable</v>
      </c>
    </row>
    <row r="29" spans="1:10" x14ac:dyDescent="0.5">
      <c r="A29" t="s">
        <v>9</v>
      </c>
      <c r="B29" t="str">
        <f>CHOOSE(MATCH(A29,{"Jan","Feb","Mar","Apr","May","Jun","Jul","Aug","Sep","Oct","Nov","Dec"},0), "Q1","Q1","Q1", "Q2","Q2","Q2", "Q3","Q3","Q3", "Q4","Q4","Q4")</f>
        <v>Q2</v>
      </c>
      <c r="C29" t="s">
        <v>5</v>
      </c>
      <c r="D29" t="s">
        <v>19</v>
      </c>
      <c r="E29" t="s">
        <v>76</v>
      </c>
      <c r="F29" s="4">
        <v>191667</v>
      </c>
      <c r="G29" s="4">
        <v>198355</v>
      </c>
      <c r="H29" s="7">
        <f t="shared" si="0"/>
        <v>6688</v>
      </c>
      <c r="I29" s="9">
        <f t="shared" si="1"/>
        <v>3.4893852358517635E-2</v>
      </c>
      <c r="J29" t="str">
        <f t="shared" si="2"/>
        <v>Favourable</v>
      </c>
    </row>
    <row r="30" spans="1:10" x14ac:dyDescent="0.5">
      <c r="A30" t="s">
        <v>10</v>
      </c>
      <c r="B30" t="str">
        <f>CHOOSE(MATCH(A30,{"Jan","Feb","Mar","Apr","May","Jun","Jul","Aug","Sep","Oct","Nov","Dec"},0), "Q1","Q1","Q1", "Q2","Q2","Q2", "Q3","Q3","Q3", "Q4","Q4","Q4")</f>
        <v>Q2</v>
      </c>
      <c r="C30" t="s">
        <v>5</v>
      </c>
      <c r="D30" t="s">
        <v>19</v>
      </c>
      <c r="E30" t="s">
        <v>76</v>
      </c>
      <c r="F30" s="4">
        <v>208333</v>
      </c>
      <c r="G30" s="4">
        <v>222279</v>
      </c>
      <c r="H30" s="7">
        <f t="shared" si="0"/>
        <v>13946</v>
      </c>
      <c r="I30" s="9">
        <f t="shared" si="1"/>
        <v>6.6940907105451364E-2</v>
      </c>
      <c r="J30" t="str">
        <f t="shared" si="2"/>
        <v>Favourable</v>
      </c>
    </row>
    <row r="31" spans="1:10" x14ac:dyDescent="0.5">
      <c r="A31" t="s">
        <v>11</v>
      </c>
      <c r="B31" t="str">
        <f>CHOOSE(MATCH(A31,{"Jan","Feb","Mar","Apr","May","Jun","Jul","Aug","Sep","Oct","Nov","Dec"},0), "Q1","Q1","Q1", "Q2","Q2","Q2", "Q3","Q3","Q3", "Q4","Q4","Q4")</f>
        <v>Q2</v>
      </c>
      <c r="C31" t="s">
        <v>5</v>
      </c>
      <c r="D31" t="s">
        <v>19</v>
      </c>
      <c r="E31" t="s">
        <v>76</v>
      </c>
      <c r="F31" s="4">
        <v>218750</v>
      </c>
      <c r="G31" s="4">
        <v>208514</v>
      </c>
      <c r="H31" s="7">
        <f t="shared" si="0"/>
        <v>-10236</v>
      </c>
      <c r="I31" s="9">
        <f t="shared" si="1"/>
        <v>-4.679314285714286E-2</v>
      </c>
      <c r="J31" t="str">
        <f t="shared" si="2"/>
        <v>Unfavourable</v>
      </c>
    </row>
    <row r="32" spans="1:10" x14ac:dyDescent="0.5">
      <c r="A32" t="s">
        <v>12</v>
      </c>
      <c r="B32" t="str">
        <f>CHOOSE(MATCH(A32,{"Jan","Feb","Mar","Apr","May","Jun","Jul","Aug","Sep","Oct","Nov","Dec"},0), "Q1","Q1","Q1", "Q2","Q2","Q2", "Q3","Q3","Q3", "Q4","Q4","Q4")</f>
        <v>Q3</v>
      </c>
      <c r="C32" t="s">
        <v>5</v>
      </c>
      <c r="D32" t="s">
        <v>19</v>
      </c>
      <c r="E32" t="s">
        <v>76</v>
      </c>
      <c r="F32" s="4">
        <v>197917</v>
      </c>
      <c r="G32" s="4">
        <v>208623</v>
      </c>
      <c r="H32" s="7">
        <f t="shared" si="0"/>
        <v>10706</v>
      </c>
      <c r="I32" s="9">
        <f t="shared" si="1"/>
        <v>5.4093382579566182E-2</v>
      </c>
      <c r="J32" t="str">
        <f t="shared" si="2"/>
        <v>Favourable</v>
      </c>
    </row>
    <row r="33" spans="1:10" x14ac:dyDescent="0.5">
      <c r="A33" t="s">
        <v>13</v>
      </c>
      <c r="B33" t="str">
        <f>CHOOSE(MATCH(A33,{"Jan","Feb","Mar","Apr","May","Jun","Jul","Aug","Sep","Oct","Nov","Dec"},0), "Q1","Q1","Q1", "Q2","Q2","Q2", "Q3","Q3","Q3", "Q4","Q4","Q4")</f>
        <v>Q3</v>
      </c>
      <c r="C33" t="s">
        <v>5</v>
      </c>
      <c r="D33" t="s">
        <v>19</v>
      </c>
      <c r="E33" t="s">
        <v>76</v>
      </c>
      <c r="F33" s="4">
        <v>187500</v>
      </c>
      <c r="G33" s="4">
        <v>174212</v>
      </c>
      <c r="H33" s="7">
        <f t="shared" si="0"/>
        <v>-13288</v>
      </c>
      <c r="I33" s="9">
        <f t="shared" si="1"/>
        <v>-7.086933333333334E-2</v>
      </c>
      <c r="J33" t="str">
        <f t="shared" si="2"/>
        <v>Unfavourable</v>
      </c>
    </row>
    <row r="34" spans="1:10" x14ac:dyDescent="0.5">
      <c r="A34" t="s">
        <v>14</v>
      </c>
      <c r="B34" t="str">
        <f>CHOOSE(MATCH(A34,{"Jan","Feb","Mar","Apr","May","Jun","Jul","Aug","Sep","Oct","Nov","Dec"},0), "Q1","Q1","Q1", "Q2","Q2","Q2", "Q3","Q3","Q3", "Q4","Q4","Q4")</f>
        <v>Q3</v>
      </c>
      <c r="C34" t="s">
        <v>5</v>
      </c>
      <c r="D34" t="s">
        <v>19</v>
      </c>
      <c r="E34" t="s">
        <v>76</v>
      </c>
      <c r="F34" s="4">
        <v>218750</v>
      </c>
      <c r="G34" s="4">
        <v>188738</v>
      </c>
      <c r="H34" s="7">
        <f t="shared" si="0"/>
        <v>-30012</v>
      </c>
      <c r="I34" s="9">
        <f t="shared" si="1"/>
        <v>-0.13719771428571428</v>
      </c>
      <c r="J34" t="str">
        <f t="shared" si="2"/>
        <v>Unfavourable</v>
      </c>
    </row>
    <row r="35" spans="1:10" x14ac:dyDescent="0.5">
      <c r="A35" t="s">
        <v>15</v>
      </c>
      <c r="B35" t="str">
        <f>CHOOSE(MATCH(A35,{"Jan","Feb","Mar","Apr","May","Jun","Jul","Aug","Sep","Oct","Nov","Dec"},0), "Q1","Q1","Q1", "Q2","Q2","Q2", "Q3","Q3","Q3", "Q4","Q4","Q4")</f>
        <v>Q4</v>
      </c>
      <c r="C35" t="s">
        <v>5</v>
      </c>
      <c r="D35" t="s">
        <v>19</v>
      </c>
      <c r="E35" t="s">
        <v>76</v>
      </c>
      <c r="F35" s="4">
        <v>229167</v>
      </c>
      <c r="G35" s="4">
        <v>225406</v>
      </c>
      <c r="H35" s="7">
        <f t="shared" si="0"/>
        <v>-3761</v>
      </c>
      <c r="I35" s="9">
        <f t="shared" si="1"/>
        <v>-1.6411612492200012E-2</v>
      </c>
      <c r="J35" t="str">
        <f t="shared" si="2"/>
        <v>Unfavourable</v>
      </c>
    </row>
    <row r="36" spans="1:10" x14ac:dyDescent="0.5">
      <c r="A36" t="s">
        <v>16</v>
      </c>
      <c r="B36" t="str">
        <f>CHOOSE(MATCH(A36,{"Jan","Feb","Mar","Apr","May","Jun","Jul","Aug","Sep","Oct","Nov","Dec"},0), "Q1","Q1","Q1", "Q2","Q2","Q2", "Q3","Q3","Q3", "Q4","Q4","Q4")</f>
        <v>Q4</v>
      </c>
      <c r="C36" t="s">
        <v>5</v>
      </c>
      <c r="D36" t="s">
        <v>19</v>
      </c>
      <c r="E36" t="s">
        <v>76</v>
      </c>
      <c r="F36" s="4">
        <v>239583</v>
      </c>
      <c r="G36" s="4">
        <v>243189</v>
      </c>
      <c r="H36" s="7">
        <f t="shared" si="0"/>
        <v>3606</v>
      </c>
      <c r="I36" s="9">
        <f t="shared" si="1"/>
        <v>1.5051151375514956E-2</v>
      </c>
      <c r="J36" t="str">
        <f t="shared" si="2"/>
        <v>Favourable</v>
      </c>
    </row>
    <row r="37" spans="1:10" x14ac:dyDescent="0.5">
      <c r="A37" t="s">
        <v>17</v>
      </c>
      <c r="B37" t="str">
        <f>CHOOSE(MATCH(A37,{"Jan","Feb","Mar","Apr","May","Jun","Jul","Aug","Sep","Oct","Nov","Dec"},0), "Q1","Q1","Q1", "Q2","Q2","Q2", "Q3","Q3","Q3", "Q4","Q4","Q4")</f>
        <v>Q4</v>
      </c>
      <c r="C37" t="s">
        <v>5</v>
      </c>
      <c r="D37" t="s">
        <v>19</v>
      </c>
      <c r="E37" t="s">
        <v>76</v>
      </c>
      <c r="F37" s="4">
        <v>329167</v>
      </c>
      <c r="G37" s="4">
        <v>369510</v>
      </c>
      <c r="H37" s="7">
        <f t="shared" si="0"/>
        <v>40343</v>
      </c>
      <c r="I37" s="9">
        <f t="shared" si="1"/>
        <v>0.12256088854593565</v>
      </c>
      <c r="J37" t="str">
        <f t="shared" si="2"/>
        <v>Favourable</v>
      </c>
    </row>
    <row r="38" spans="1:10" x14ac:dyDescent="0.5">
      <c r="A38" t="s">
        <v>4</v>
      </c>
      <c r="B38" t="str">
        <f>CHOOSE(MATCH(A38,{"Jan","Feb","Mar","Apr","May","Jun","Jul","Aug","Sep","Oct","Nov","Dec"},0), "Q1","Q1","Q1", "Q2","Q2","Q2", "Q3","Q3","Q3", "Q4","Q4","Q4")</f>
        <v>Q1</v>
      </c>
      <c r="C38" t="s">
        <v>5</v>
      </c>
      <c r="D38" t="s">
        <v>20</v>
      </c>
      <c r="E38" t="s">
        <v>76</v>
      </c>
      <c r="F38" s="4">
        <v>52500</v>
      </c>
      <c r="G38" s="4">
        <v>55642</v>
      </c>
      <c r="H38" s="7">
        <f t="shared" si="0"/>
        <v>3142</v>
      </c>
      <c r="I38" s="9">
        <f t="shared" si="1"/>
        <v>5.9847619047619045E-2</v>
      </c>
      <c r="J38" t="str">
        <f t="shared" si="2"/>
        <v>Favourable</v>
      </c>
    </row>
    <row r="39" spans="1:10" x14ac:dyDescent="0.5">
      <c r="A39" t="s">
        <v>7</v>
      </c>
      <c r="B39" t="str">
        <f>CHOOSE(MATCH(A39,{"Jan","Feb","Mar","Apr","May","Jun","Jul","Aug","Sep","Oct","Nov","Dec"},0), "Q1","Q1","Q1", "Q2","Q2","Q2", "Q3","Q3","Q3", "Q4","Q4","Q4")</f>
        <v>Q1</v>
      </c>
      <c r="C39" t="s">
        <v>5</v>
      </c>
      <c r="D39" t="s">
        <v>20</v>
      </c>
      <c r="E39" t="s">
        <v>76</v>
      </c>
      <c r="F39" s="4">
        <v>54000</v>
      </c>
      <c r="G39" s="4">
        <v>51130</v>
      </c>
      <c r="H39" s="7">
        <f t="shared" si="0"/>
        <v>-2870</v>
      </c>
      <c r="I39" s="9">
        <f t="shared" si="1"/>
        <v>-5.3148148148148146E-2</v>
      </c>
      <c r="J39" t="str">
        <f t="shared" si="2"/>
        <v>Unfavourable</v>
      </c>
    </row>
    <row r="40" spans="1:10" x14ac:dyDescent="0.5">
      <c r="A40" t="s">
        <v>8</v>
      </c>
      <c r="B40" t="str">
        <f>CHOOSE(MATCH(A40,{"Jan","Feb","Mar","Apr","May","Jun","Jul","Aug","Sep","Oct","Nov","Dec"},0), "Q1","Q1","Q1", "Q2","Q2","Q2", "Q3","Q3","Q3", "Q4","Q4","Q4")</f>
        <v>Q1</v>
      </c>
      <c r="C40" t="s">
        <v>5</v>
      </c>
      <c r="D40" t="s">
        <v>20</v>
      </c>
      <c r="E40" t="s">
        <v>76</v>
      </c>
      <c r="F40" s="4">
        <v>66000</v>
      </c>
      <c r="G40" s="4">
        <v>70676</v>
      </c>
      <c r="H40" s="7">
        <f t="shared" si="0"/>
        <v>4676</v>
      </c>
      <c r="I40" s="9">
        <f t="shared" si="1"/>
        <v>7.0848484848484855E-2</v>
      </c>
      <c r="J40" t="str">
        <f t="shared" si="2"/>
        <v>Favourable</v>
      </c>
    </row>
    <row r="41" spans="1:10" x14ac:dyDescent="0.5">
      <c r="A41" t="s">
        <v>9</v>
      </c>
      <c r="B41" t="str">
        <f>CHOOSE(MATCH(A41,{"Jan","Feb","Mar","Apr","May","Jun","Jul","Aug","Sep","Oct","Nov","Dec"},0), "Q1","Q1","Q1", "Q2","Q2","Q2", "Q3","Q3","Q3", "Q4","Q4","Q4")</f>
        <v>Q2</v>
      </c>
      <c r="C41" t="s">
        <v>5</v>
      </c>
      <c r="D41" t="s">
        <v>20</v>
      </c>
      <c r="E41" t="s">
        <v>76</v>
      </c>
      <c r="F41" s="4">
        <v>69000</v>
      </c>
      <c r="G41" s="4">
        <v>66231</v>
      </c>
      <c r="H41" s="7">
        <f t="shared" si="0"/>
        <v>-2769</v>
      </c>
      <c r="I41" s="9">
        <f t="shared" si="1"/>
        <v>-4.0130434782608693E-2</v>
      </c>
      <c r="J41" t="str">
        <f t="shared" si="2"/>
        <v>Unfavourable</v>
      </c>
    </row>
    <row r="42" spans="1:10" x14ac:dyDescent="0.5">
      <c r="A42" t="s">
        <v>10</v>
      </c>
      <c r="B42" t="str">
        <f>CHOOSE(MATCH(A42,{"Jan","Feb","Mar","Apr","May","Jun","Jul","Aug","Sep","Oct","Nov","Dec"},0), "Q1","Q1","Q1", "Q2","Q2","Q2", "Q3","Q3","Q3", "Q4","Q4","Q4")</f>
        <v>Q2</v>
      </c>
      <c r="C42" t="s">
        <v>5</v>
      </c>
      <c r="D42" t="s">
        <v>20</v>
      </c>
      <c r="E42" t="s">
        <v>76</v>
      </c>
      <c r="F42" s="4">
        <v>75000</v>
      </c>
      <c r="G42" s="4">
        <v>76112</v>
      </c>
      <c r="H42" s="7">
        <f t="shared" si="0"/>
        <v>1112</v>
      </c>
      <c r="I42" s="9">
        <f t="shared" si="1"/>
        <v>1.4826666666666667E-2</v>
      </c>
      <c r="J42" t="str">
        <f t="shared" si="2"/>
        <v>Favourable</v>
      </c>
    </row>
    <row r="43" spans="1:10" x14ac:dyDescent="0.5">
      <c r="A43" t="s">
        <v>11</v>
      </c>
      <c r="B43" t="str">
        <f>CHOOSE(MATCH(A43,{"Jan","Feb","Mar","Apr","May","Jun","Jul","Aug","Sep","Oct","Nov","Dec"},0), "Q1","Q1","Q1", "Q2","Q2","Q2", "Q3","Q3","Q3", "Q4","Q4","Q4")</f>
        <v>Q2</v>
      </c>
      <c r="C43" t="s">
        <v>5</v>
      </c>
      <c r="D43" t="s">
        <v>20</v>
      </c>
      <c r="E43" t="s">
        <v>76</v>
      </c>
      <c r="F43" s="4">
        <v>78750</v>
      </c>
      <c r="G43" s="4">
        <v>78936</v>
      </c>
      <c r="H43" s="7">
        <f t="shared" si="0"/>
        <v>186</v>
      </c>
      <c r="I43" s="9">
        <f t="shared" si="1"/>
        <v>2.3619047619047621E-3</v>
      </c>
      <c r="J43" t="str">
        <f t="shared" si="2"/>
        <v>Favourable</v>
      </c>
    </row>
    <row r="44" spans="1:10" x14ac:dyDescent="0.5">
      <c r="A44" t="s">
        <v>12</v>
      </c>
      <c r="B44" t="str">
        <f>CHOOSE(MATCH(A44,{"Jan","Feb","Mar","Apr","May","Jun","Jul","Aug","Sep","Oct","Nov","Dec"},0), "Q1","Q1","Q1", "Q2","Q2","Q2", "Q3","Q3","Q3", "Q4","Q4","Q4")</f>
        <v>Q3</v>
      </c>
      <c r="C44" t="s">
        <v>5</v>
      </c>
      <c r="D44" t="s">
        <v>20</v>
      </c>
      <c r="E44" t="s">
        <v>76</v>
      </c>
      <c r="F44" s="4">
        <v>71250</v>
      </c>
      <c r="G44" s="4">
        <v>73164</v>
      </c>
      <c r="H44" s="7">
        <f t="shared" si="0"/>
        <v>1914</v>
      </c>
      <c r="I44" s="9">
        <f t="shared" si="1"/>
        <v>2.6863157894736842E-2</v>
      </c>
      <c r="J44" t="str">
        <f t="shared" si="2"/>
        <v>Favourable</v>
      </c>
    </row>
    <row r="45" spans="1:10" x14ac:dyDescent="0.5">
      <c r="A45" t="s">
        <v>13</v>
      </c>
      <c r="B45" t="str">
        <f>CHOOSE(MATCH(A45,{"Jan","Feb","Mar","Apr","May","Jun","Jul","Aug","Sep","Oct","Nov","Dec"},0), "Q1","Q1","Q1", "Q2","Q2","Q2", "Q3","Q3","Q3", "Q4","Q4","Q4")</f>
        <v>Q3</v>
      </c>
      <c r="C45" t="s">
        <v>5</v>
      </c>
      <c r="D45" t="s">
        <v>20</v>
      </c>
      <c r="E45" t="s">
        <v>76</v>
      </c>
      <c r="F45" s="4">
        <v>67500</v>
      </c>
      <c r="G45" s="4">
        <v>72165</v>
      </c>
      <c r="H45" s="7">
        <f t="shared" si="0"/>
        <v>4665</v>
      </c>
      <c r="I45" s="9">
        <f t="shared" si="1"/>
        <v>6.9111111111111109E-2</v>
      </c>
      <c r="J45" t="str">
        <f t="shared" si="2"/>
        <v>Favourable</v>
      </c>
    </row>
    <row r="46" spans="1:10" x14ac:dyDescent="0.5">
      <c r="A46" t="s">
        <v>14</v>
      </c>
      <c r="B46" t="str">
        <f>CHOOSE(MATCH(A46,{"Jan","Feb","Mar","Apr","May","Jun","Jul","Aug","Sep","Oct","Nov","Dec"},0), "Q1","Q1","Q1", "Q2","Q2","Q2", "Q3","Q3","Q3", "Q4","Q4","Q4")</f>
        <v>Q3</v>
      </c>
      <c r="C46" t="s">
        <v>5</v>
      </c>
      <c r="D46" t="s">
        <v>20</v>
      </c>
      <c r="E46" t="s">
        <v>76</v>
      </c>
      <c r="F46" s="4">
        <v>78750</v>
      </c>
      <c r="G46" s="4">
        <v>83342</v>
      </c>
      <c r="H46" s="7">
        <f t="shared" si="0"/>
        <v>4592</v>
      </c>
      <c r="I46" s="9">
        <f t="shared" si="1"/>
        <v>5.8311111111111112E-2</v>
      </c>
      <c r="J46" t="str">
        <f t="shared" si="2"/>
        <v>Favourable</v>
      </c>
    </row>
    <row r="47" spans="1:10" x14ac:dyDescent="0.5">
      <c r="A47" t="s">
        <v>15</v>
      </c>
      <c r="B47" t="str">
        <f>CHOOSE(MATCH(A47,{"Jan","Feb","Mar","Apr","May","Jun","Jul","Aug","Sep","Oct","Nov","Dec"},0), "Q1","Q1","Q1", "Q2","Q2","Q2", "Q3","Q3","Q3", "Q4","Q4","Q4")</f>
        <v>Q4</v>
      </c>
      <c r="C47" t="s">
        <v>5</v>
      </c>
      <c r="D47" t="s">
        <v>20</v>
      </c>
      <c r="E47" t="s">
        <v>76</v>
      </c>
      <c r="F47" s="4">
        <v>82500</v>
      </c>
      <c r="G47" s="4">
        <v>85882</v>
      </c>
      <c r="H47" s="7">
        <f t="shared" si="0"/>
        <v>3382</v>
      </c>
      <c r="I47" s="9">
        <f t="shared" si="1"/>
        <v>4.0993939393939395E-2</v>
      </c>
      <c r="J47" t="str">
        <f t="shared" si="2"/>
        <v>Favourable</v>
      </c>
    </row>
    <row r="48" spans="1:10" x14ac:dyDescent="0.5">
      <c r="A48" t="s">
        <v>16</v>
      </c>
      <c r="B48" t="str">
        <f>CHOOSE(MATCH(A48,{"Jan","Feb","Mar","Apr","May","Jun","Jul","Aug","Sep","Oct","Nov","Dec"},0), "Q1","Q1","Q1", "Q2","Q2","Q2", "Q3","Q3","Q3", "Q4","Q4","Q4")</f>
        <v>Q4</v>
      </c>
      <c r="C48" t="s">
        <v>5</v>
      </c>
      <c r="D48" t="s">
        <v>20</v>
      </c>
      <c r="E48" t="s">
        <v>76</v>
      </c>
      <c r="F48" s="4">
        <v>86250</v>
      </c>
      <c r="G48" s="4">
        <v>95651</v>
      </c>
      <c r="H48" s="7">
        <f t="shared" si="0"/>
        <v>9401</v>
      </c>
      <c r="I48" s="9">
        <f t="shared" si="1"/>
        <v>0.10899710144927537</v>
      </c>
      <c r="J48" t="str">
        <f t="shared" si="2"/>
        <v>Favourable</v>
      </c>
    </row>
    <row r="49" spans="1:10" x14ac:dyDescent="0.5">
      <c r="A49" t="s">
        <v>17</v>
      </c>
      <c r="B49" t="str">
        <f>CHOOSE(MATCH(A49,{"Jan","Feb","Mar","Apr","May","Jun","Jul","Aug","Sep","Oct","Nov","Dec"},0), "Q1","Q1","Q1", "Q2","Q2","Q2", "Q3","Q3","Q3", "Q4","Q4","Q4")</f>
        <v>Q4</v>
      </c>
      <c r="C49" t="s">
        <v>5</v>
      </c>
      <c r="D49" t="s">
        <v>20</v>
      </c>
      <c r="E49" t="s">
        <v>76</v>
      </c>
      <c r="F49" s="4">
        <v>118500</v>
      </c>
      <c r="G49" s="4">
        <v>130197</v>
      </c>
      <c r="H49" s="7">
        <f t="shared" si="0"/>
        <v>11697</v>
      </c>
      <c r="I49" s="9">
        <f t="shared" si="1"/>
        <v>9.8708860759493672E-2</v>
      </c>
      <c r="J49" t="str">
        <f t="shared" si="2"/>
        <v>Favourable</v>
      </c>
    </row>
    <row r="50" spans="1:10" x14ac:dyDescent="0.5">
      <c r="A50" t="s">
        <v>4</v>
      </c>
      <c r="B50" t="str">
        <f>CHOOSE(MATCH(A50,{"Jan","Feb","Mar","Apr","May","Jun","Jul","Aug","Sep","Oct","Nov","Dec"},0), "Q1","Q1","Q1", "Q2","Q2","Q2", "Q3","Q3","Q3", "Q4","Q4","Q4")</f>
        <v>Q1</v>
      </c>
      <c r="C50" t="s">
        <v>5</v>
      </c>
      <c r="D50" t="s">
        <v>21</v>
      </c>
      <c r="E50" t="s">
        <v>76</v>
      </c>
      <c r="F50" s="4">
        <v>35000</v>
      </c>
      <c r="G50" s="4">
        <v>34383</v>
      </c>
      <c r="H50" s="7">
        <f t="shared" si="0"/>
        <v>-617</v>
      </c>
      <c r="I50" s="9">
        <f t="shared" si="1"/>
        <v>-1.7628571428571427E-2</v>
      </c>
      <c r="J50" t="str">
        <f t="shared" si="2"/>
        <v>Unfavourable</v>
      </c>
    </row>
    <row r="51" spans="1:10" x14ac:dyDescent="0.5">
      <c r="A51" t="s">
        <v>7</v>
      </c>
      <c r="B51" t="str">
        <f>CHOOSE(MATCH(A51,{"Jan","Feb","Mar","Apr","May","Jun","Jul","Aug","Sep","Oct","Nov","Dec"},0), "Q1","Q1","Q1", "Q2","Q2","Q2", "Q3","Q3","Q3", "Q4","Q4","Q4")</f>
        <v>Q1</v>
      </c>
      <c r="C51" t="s">
        <v>5</v>
      </c>
      <c r="D51" t="s">
        <v>21</v>
      </c>
      <c r="E51" t="s">
        <v>76</v>
      </c>
      <c r="F51" s="4">
        <v>36000</v>
      </c>
      <c r="G51" s="4">
        <v>35170</v>
      </c>
      <c r="H51" s="7">
        <f t="shared" si="0"/>
        <v>-830</v>
      </c>
      <c r="I51" s="9">
        <f t="shared" si="1"/>
        <v>-2.3055555555555555E-2</v>
      </c>
      <c r="J51" t="str">
        <f t="shared" si="2"/>
        <v>Unfavourable</v>
      </c>
    </row>
    <row r="52" spans="1:10" x14ac:dyDescent="0.5">
      <c r="A52" t="s">
        <v>8</v>
      </c>
      <c r="B52" t="str">
        <f>CHOOSE(MATCH(A52,{"Jan","Feb","Mar","Apr","May","Jun","Jul","Aug","Sep","Oct","Nov","Dec"},0), "Q1","Q1","Q1", "Q2","Q2","Q2", "Q3","Q3","Q3", "Q4","Q4","Q4")</f>
        <v>Q1</v>
      </c>
      <c r="C52" t="s">
        <v>5</v>
      </c>
      <c r="D52" t="s">
        <v>21</v>
      </c>
      <c r="E52" t="s">
        <v>76</v>
      </c>
      <c r="F52" s="4">
        <v>44000</v>
      </c>
      <c r="G52" s="4">
        <v>43639</v>
      </c>
      <c r="H52" s="7">
        <f t="shared" si="0"/>
        <v>-361</v>
      </c>
      <c r="I52" s="9">
        <f t="shared" si="1"/>
        <v>-8.2045454545454539E-3</v>
      </c>
      <c r="J52" t="str">
        <f t="shared" si="2"/>
        <v>Unfavourable</v>
      </c>
    </row>
    <row r="53" spans="1:10" x14ac:dyDescent="0.5">
      <c r="A53" t="s">
        <v>9</v>
      </c>
      <c r="B53" t="str">
        <f>CHOOSE(MATCH(A53,{"Jan","Feb","Mar","Apr","May","Jun","Jul","Aug","Sep","Oct","Nov","Dec"},0), "Q1","Q1","Q1", "Q2","Q2","Q2", "Q3","Q3","Q3", "Q4","Q4","Q4")</f>
        <v>Q2</v>
      </c>
      <c r="C53" t="s">
        <v>5</v>
      </c>
      <c r="D53" t="s">
        <v>21</v>
      </c>
      <c r="E53" t="s">
        <v>76</v>
      </c>
      <c r="F53" s="4">
        <v>46000</v>
      </c>
      <c r="G53" s="4">
        <v>48298</v>
      </c>
      <c r="H53" s="7">
        <f t="shared" si="0"/>
        <v>2298</v>
      </c>
      <c r="I53" s="9">
        <f t="shared" si="1"/>
        <v>4.9956521739130434E-2</v>
      </c>
      <c r="J53" t="str">
        <f t="shared" si="2"/>
        <v>Favourable</v>
      </c>
    </row>
    <row r="54" spans="1:10" x14ac:dyDescent="0.5">
      <c r="A54" t="s">
        <v>10</v>
      </c>
      <c r="B54" t="str">
        <f>CHOOSE(MATCH(A54,{"Jan","Feb","Mar","Apr","May","Jun","Jul","Aug","Sep","Oct","Nov","Dec"},0), "Q1","Q1","Q1", "Q2","Q2","Q2", "Q3","Q3","Q3", "Q4","Q4","Q4")</f>
        <v>Q2</v>
      </c>
      <c r="C54" t="s">
        <v>5</v>
      </c>
      <c r="D54" t="s">
        <v>21</v>
      </c>
      <c r="E54" t="s">
        <v>76</v>
      </c>
      <c r="F54" s="4">
        <v>50000</v>
      </c>
      <c r="G54" s="4">
        <v>50250</v>
      </c>
      <c r="H54" s="7">
        <f t="shared" si="0"/>
        <v>250</v>
      </c>
      <c r="I54" s="9">
        <f t="shared" si="1"/>
        <v>5.0000000000000001E-3</v>
      </c>
      <c r="J54" t="str">
        <f t="shared" si="2"/>
        <v>Favourable</v>
      </c>
    </row>
    <row r="55" spans="1:10" x14ac:dyDescent="0.5">
      <c r="A55" t="s">
        <v>11</v>
      </c>
      <c r="B55" t="str">
        <f>CHOOSE(MATCH(A55,{"Jan","Feb","Mar","Apr","May","Jun","Jul","Aug","Sep","Oct","Nov","Dec"},0), "Q1","Q1","Q1", "Q2","Q2","Q2", "Q3","Q3","Q3", "Q4","Q4","Q4")</f>
        <v>Q2</v>
      </c>
      <c r="C55" t="s">
        <v>5</v>
      </c>
      <c r="D55" t="s">
        <v>21</v>
      </c>
      <c r="E55" t="s">
        <v>76</v>
      </c>
      <c r="F55" s="4">
        <v>52500</v>
      </c>
      <c r="G55" s="4">
        <v>60908</v>
      </c>
      <c r="H55" s="7">
        <f t="shared" si="0"/>
        <v>8408</v>
      </c>
      <c r="I55" s="9">
        <f t="shared" si="1"/>
        <v>0.16015238095238096</v>
      </c>
      <c r="J55" t="str">
        <f t="shared" si="2"/>
        <v>Favourable</v>
      </c>
    </row>
    <row r="56" spans="1:10" x14ac:dyDescent="0.5">
      <c r="A56" t="s">
        <v>12</v>
      </c>
      <c r="B56" t="str">
        <f>CHOOSE(MATCH(A56,{"Jan","Feb","Mar","Apr","May","Jun","Jul","Aug","Sep","Oct","Nov","Dec"},0), "Q1","Q1","Q1", "Q2","Q2","Q2", "Q3","Q3","Q3", "Q4","Q4","Q4")</f>
        <v>Q3</v>
      </c>
      <c r="C56" t="s">
        <v>5</v>
      </c>
      <c r="D56" t="s">
        <v>21</v>
      </c>
      <c r="E56" t="s">
        <v>76</v>
      </c>
      <c r="F56" s="4">
        <v>47500</v>
      </c>
      <c r="G56" s="4">
        <v>46115</v>
      </c>
      <c r="H56" s="7">
        <f t="shared" si="0"/>
        <v>-1385</v>
      </c>
      <c r="I56" s="9">
        <f t="shared" si="1"/>
        <v>-2.9157894736842105E-2</v>
      </c>
      <c r="J56" t="str">
        <f t="shared" si="2"/>
        <v>Unfavourable</v>
      </c>
    </row>
    <row r="57" spans="1:10" x14ac:dyDescent="0.5">
      <c r="A57" t="s">
        <v>13</v>
      </c>
      <c r="B57" t="str">
        <f>CHOOSE(MATCH(A57,{"Jan","Feb","Mar","Apr","May","Jun","Jul","Aug","Sep","Oct","Nov","Dec"},0), "Q1","Q1","Q1", "Q2","Q2","Q2", "Q3","Q3","Q3", "Q4","Q4","Q4")</f>
        <v>Q3</v>
      </c>
      <c r="C57" t="s">
        <v>5</v>
      </c>
      <c r="D57" t="s">
        <v>21</v>
      </c>
      <c r="E57" t="s">
        <v>76</v>
      </c>
      <c r="F57" s="4">
        <v>45000</v>
      </c>
      <c r="G57" s="4">
        <v>42933</v>
      </c>
      <c r="H57" s="7">
        <f t="shared" si="0"/>
        <v>-2067</v>
      </c>
      <c r="I57" s="9">
        <f t="shared" si="1"/>
        <v>-4.5933333333333333E-2</v>
      </c>
      <c r="J57" t="str">
        <f t="shared" si="2"/>
        <v>Unfavourable</v>
      </c>
    </row>
    <row r="58" spans="1:10" x14ac:dyDescent="0.5">
      <c r="A58" t="s">
        <v>14</v>
      </c>
      <c r="B58" t="str">
        <f>CHOOSE(MATCH(A58,{"Jan","Feb","Mar","Apr","May","Jun","Jul","Aug","Sep","Oct","Nov","Dec"},0), "Q1","Q1","Q1", "Q2","Q2","Q2", "Q3","Q3","Q3", "Q4","Q4","Q4")</f>
        <v>Q3</v>
      </c>
      <c r="C58" t="s">
        <v>5</v>
      </c>
      <c r="D58" t="s">
        <v>21</v>
      </c>
      <c r="E58" t="s">
        <v>76</v>
      </c>
      <c r="F58" s="4">
        <v>52500</v>
      </c>
      <c r="G58" s="4">
        <v>55971</v>
      </c>
      <c r="H58" s="7">
        <f t="shared" si="0"/>
        <v>3471</v>
      </c>
      <c r="I58" s="9">
        <f t="shared" si="1"/>
        <v>6.6114285714285709E-2</v>
      </c>
      <c r="J58" t="str">
        <f t="shared" si="2"/>
        <v>Favourable</v>
      </c>
    </row>
    <row r="59" spans="1:10" x14ac:dyDescent="0.5">
      <c r="A59" t="s">
        <v>15</v>
      </c>
      <c r="B59" t="str">
        <f>CHOOSE(MATCH(A59,{"Jan","Feb","Mar","Apr","May","Jun","Jul","Aug","Sep","Oct","Nov","Dec"},0), "Q1","Q1","Q1", "Q2","Q2","Q2", "Q3","Q3","Q3", "Q4","Q4","Q4")</f>
        <v>Q4</v>
      </c>
      <c r="C59" t="s">
        <v>5</v>
      </c>
      <c r="D59" t="s">
        <v>21</v>
      </c>
      <c r="E59" t="s">
        <v>76</v>
      </c>
      <c r="F59" s="4">
        <v>55000</v>
      </c>
      <c r="G59" s="4">
        <v>60792</v>
      </c>
      <c r="H59" s="7">
        <f t="shared" si="0"/>
        <v>5792</v>
      </c>
      <c r="I59" s="9">
        <f t="shared" si="1"/>
        <v>0.10530909090909091</v>
      </c>
      <c r="J59" t="str">
        <f t="shared" si="2"/>
        <v>Favourable</v>
      </c>
    </row>
    <row r="60" spans="1:10" x14ac:dyDescent="0.5">
      <c r="A60" t="s">
        <v>16</v>
      </c>
      <c r="B60" t="str">
        <f>CHOOSE(MATCH(A60,{"Jan","Feb","Mar","Apr","May","Jun","Jul","Aug","Sep","Oct","Nov","Dec"},0), "Q1","Q1","Q1", "Q2","Q2","Q2", "Q3","Q3","Q3", "Q4","Q4","Q4")</f>
        <v>Q4</v>
      </c>
      <c r="C60" t="s">
        <v>5</v>
      </c>
      <c r="D60" t="s">
        <v>21</v>
      </c>
      <c r="E60" t="s">
        <v>76</v>
      </c>
      <c r="F60" s="4">
        <v>57500</v>
      </c>
      <c r="G60" s="4">
        <v>63270</v>
      </c>
      <c r="H60" s="7">
        <f t="shared" si="0"/>
        <v>5770</v>
      </c>
      <c r="I60" s="9">
        <f t="shared" si="1"/>
        <v>0.10034782608695653</v>
      </c>
      <c r="J60" t="str">
        <f t="shared" si="2"/>
        <v>Favourable</v>
      </c>
    </row>
    <row r="61" spans="1:10" x14ac:dyDescent="0.5">
      <c r="A61" t="s">
        <v>17</v>
      </c>
      <c r="B61" t="str">
        <f>CHOOSE(MATCH(A61,{"Jan","Feb","Mar","Apr","May","Jun","Jul","Aug","Sep","Oct","Nov","Dec"},0), "Q1","Q1","Q1", "Q2","Q2","Q2", "Q3","Q3","Q3", "Q4","Q4","Q4")</f>
        <v>Q4</v>
      </c>
      <c r="C61" t="s">
        <v>5</v>
      </c>
      <c r="D61" t="s">
        <v>21</v>
      </c>
      <c r="E61" t="s">
        <v>76</v>
      </c>
      <c r="F61" s="4">
        <v>79000</v>
      </c>
      <c r="G61" s="4">
        <v>88492</v>
      </c>
      <c r="H61" s="7">
        <f t="shared" si="0"/>
        <v>9492</v>
      </c>
      <c r="I61" s="9">
        <f t="shared" si="1"/>
        <v>0.12015189873417721</v>
      </c>
      <c r="J61" t="str">
        <f t="shared" si="2"/>
        <v>Favourable</v>
      </c>
    </row>
    <row r="62" spans="1:10" x14ac:dyDescent="0.5">
      <c r="A62" t="s">
        <v>4</v>
      </c>
      <c r="B62" t="str">
        <f>CHOOSE(MATCH(A62,{"Jan","Feb","Mar","Apr","May","Jun","Jul","Aug","Sep","Oct","Nov","Dec"},0), "Q1","Q1","Q1", "Q2","Q2","Q2", "Q3","Q3","Q3", "Q4","Q4","Q4")</f>
        <v>Q1</v>
      </c>
      <c r="C62" t="s">
        <v>5</v>
      </c>
      <c r="D62" t="s">
        <v>22</v>
      </c>
      <c r="E62" t="s">
        <v>76</v>
      </c>
      <c r="F62" s="4">
        <v>8750</v>
      </c>
      <c r="G62" s="4">
        <v>9674</v>
      </c>
      <c r="H62" s="7">
        <f t="shared" si="0"/>
        <v>924</v>
      </c>
      <c r="I62" s="9">
        <f t="shared" si="1"/>
        <v>0.1056</v>
      </c>
      <c r="J62" t="str">
        <f t="shared" si="2"/>
        <v>Favourable</v>
      </c>
    </row>
    <row r="63" spans="1:10" x14ac:dyDescent="0.5">
      <c r="A63" t="s">
        <v>7</v>
      </c>
      <c r="B63" t="str">
        <f>CHOOSE(MATCH(A63,{"Jan","Feb","Mar","Apr","May","Jun","Jul","Aug","Sep","Oct","Nov","Dec"},0), "Q1","Q1","Q1", "Q2","Q2","Q2", "Q3","Q3","Q3", "Q4","Q4","Q4")</f>
        <v>Q1</v>
      </c>
      <c r="C63" t="s">
        <v>5</v>
      </c>
      <c r="D63" t="s">
        <v>22</v>
      </c>
      <c r="E63" t="s">
        <v>76</v>
      </c>
      <c r="F63" s="4">
        <v>9000</v>
      </c>
      <c r="G63" s="4">
        <v>9129</v>
      </c>
      <c r="H63" s="7">
        <f t="shared" si="0"/>
        <v>129</v>
      </c>
      <c r="I63" s="9">
        <f t="shared" si="1"/>
        <v>1.4333333333333333E-2</v>
      </c>
      <c r="J63" t="str">
        <f t="shared" si="2"/>
        <v>Favourable</v>
      </c>
    </row>
    <row r="64" spans="1:10" x14ac:dyDescent="0.5">
      <c r="A64" t="s">
        <v>8</v>
      </c>
      <c r="B64" t="str">
        <f>CHOOSE(MATCH(A64,{"Jan","Feb","Mar","Apr","May","Jun","Jul","Aug","Sep","Oct","Nov","Dec"},0), "Q1","Q1","Q1", "Q2","Q2","Q2", "Q3","Q3","Q3", "Q4","Q4","Q4")</f>
        <v>Q1</v>
      </c>
      <c r="C64" t="s">
        <v>5</v>
      </c>
      <c r="D64" t="s">
        <v>22</v>
      </c>
      <c r="E64" t="s">
        <v>76</v>
      </c>
      <c r="F64" s="4">
        <v>11000</v>
      </c>
      <c r="G64" s="4">
        <v>10281</v>
      </c>
      <c r="H64" s="7">
        <f t="shared" si="0"/>
        <v>-719</v>
      </c>
      <c r="I64" s="9">
        <f t="shared" si="1"/>
        <v>-6.536363636363636E-2</v>
      </c>
      <c r="J64" t="str">
        <f t="shared" si="2"/>
        <v>Unfavourable</v>
      </c>
    </row>
    <row r="65" spans="1:10" x14ac:dyDescent="0.5">
      <c r="A65" t="s">
        <v>9</v>
      </c>
      <c r="B65" t="str">
        <f>CHOOSE(MATCH(A65,{"Jan","Feb","Mar","Apr","May","Jun","Jul","Aug","Sep","Oct","Nov","Dec"},0), "Q1","Q1","Q1", "Q2","Q2","Q2", "Q3","Q3","Q3", "Q4","Q4","Q4")</f>
        <v>Q2</v>
      </c>
      <c r="C65" t="s">
        <v>5</v>
      </c>
      <c r="D65" t="s">
        <v>22</v>
      </c>
      <c r="E65" t="s">
        <v>76</v>
      </c>
      <c r="F65" s="4">
        <v>11500</v>
      </c>
      <c r="G65" s="4">
        <v>11363</v>
      </c>
      <c r="H65" s="7">
        <f t="shared" si="0"/>
        <v>-137</v>
      </c>
      <c r="I65" s="9">
        <f t="shared" si="1"/>
        <v>-1.191304347826087E-2</v>
      </c>
      <c r="J65" t="str">
        <f t="shared" si="2"/>
        <v>Unfavourable</v>
      </c>
    </row>
    <row r="66" spans="1:10" x14ac:dyDescent="0.5">
      <c r="A66" t="s">
        <v>10</v>
      </c>
      <c r="B66" t="str">
        <f>CHOOSE(MATCH(A66,{"Jan","Feb","Mar","Apr","May","Jun","Jul","Aug","Sep","Oct","Nov","Dec"},0), "Q1","Q1","Q1", "Q2","Q2","Q2", "Q3","Q3","Q3", "Q4","Q4","Q4")</f>
        <v>Q2</v>
      </c>
      <c r="C66" t="s">
        <v>5</v>
      </c>
      <c r="D66" t="s">
        <v>22</v>
      </c>
      <c r="E66" t="s">
        <v>76</v>
      </c>
      <c r="F66" s="4">
        <v>12500</v>
      </c>
      <c r="G66" s="4">
        <v>13465</v>
      </c>
      <c r="H66" s="7">
        <f t="shared" si="0"/>
        <v>965</v>
      </c>
      <c r="I66" s="9">
        <f t="shared" si="1"/>
        <v>7.7200000000000005E-2</v>
      </c>
      <c r="J66" t="str">
        <f t="shared" si="2"/>
        <v>Favourable</v>
      </c>
    </row>
    <row r="67" spans="1:10" x14ac:dyDescent="0.5">
      <c r="A67" t="s">
        <v>11</v>
      </c>
      <c r="B67" t="str">
        <f>CHOOSE(MATCH(A67,{"Jan","Feb","Mar","Apr","May","Jun","Jul","Aug","Sep","Oct","Nov","Dec"},0), "Q1","Q1","Q1", "Q2","Q2","Q2", "Q3","Q3","Q3", "Q4","Q4","Q4")</f>
        <v>Q2</v>
      </c>
      <c r="C67" t="s">
        <v>5</v>
      </c>
      <c r="D67" t="s">
        <v>22</v>
      </c>
      <c r="E67" t="s">
        <v>76</v>
      </c>
      <c r="F67" s="4">
        <v>13125</v>
      </c>
      <c r="G67" s="4">
        <v>12251</v>
      </c>
      <c r="H67" s="7">
        <f t="shared" ref="H67:H130" si="3">G67-F67</f>
        <v>-874</v>
      </c>
      <c r="I67" s="9">
        <f t="shared" ref="I67:I130" si="4">SUM(G67-F67)/F67</f>
        <v>-6.6590476190476186E-2</v>
      </c>
      <c r="J67" t="str">
        <f t="shared" ref="J67:J130" si="5">IF(C67="Revenue",IF(G67&gt;F67,"Favourable","Unfavourable"),IF(G67&lt;F67,"Favourable","Unfavourable"))</f>
        <v>Unfavourable</v>
      </c>
    </row>
    <row r="68" spans="1:10" x14ac:dyDescent="0.5">
      <c r="A68" t="s">
        <v>12</v>
      </c>
      <c r="B68" t="str">
        <f>CHOOSE(MATCH(A68,{"Jan","Feb","Mar","Apr","May","Jun","Jul","Aug","Sep","Oct","Nov","Dec"},0), "Q1","Q1","Q1", "Q2","Q2","Q2", "Q3","Q3","Q3", "Q4","Q4","Q4")</f>
        <v>Q3</v>
      </c>
      <c r="C68" t="s">
        <v>5</v>
      </c>
      <c r="D68" t="s">
        <v>22</v>
      </c>
      <c r="E68" t="s">
        <v>76</v>
      </c>
      <c r="F68" s="4">
        <v>11875</v>
      </c>
      <c r="G68" s="4">
        <v>12136</v>
      </c>
      <c r="H68" s="7">
        <f t="shared" si="3"/>
        <v>261</v>
      </c>
      <c r="I68" s="9">
        <f t="shared" si="4"/>
        <v>2.1978947368421053E-2</v>
      </c>
      <c r="J68" t="str">
        <f t="shared" si="5"/>
        <v>Favourable</v>
      </c>
    </row>
    <row r="69" spans="1:10" x14ac:dyDescent="0.5">
      <c r="A69" t="s">
        <v>13</v>
      </c>
      <c r="B69" t="str">
        <f>CHOOSE(MATCH(A69,{"Jan","Feb","Mar","Apr","May","Jun","Jul","Aug","Sep","Oct","Nov","Dec"},0), "Q1","Q1","Q1", "Q2","Q2","Q2", "Q3","Q3","Q3", "Q4","Q4","Q4")</f>
        <v>Q3</v>
      </c>
      <c r="C69" t="s">
        <v>5</v>
      </c>
      <c r="D69" t="s">
        <v>22</v>
      </c>
      <c r="E69" t="s">
        <v>76</v>
      </c>
      <c r="F69" s="4">
        <v>11250</v>
      </c>
      <c r="G69" s="4">
        <v>11646</v>
      </c>
      <c r="H69" s="7">
        <f t="shared" si="3"/>
        <v>396</v>
      </c>
      <c r="I69" s="9">
        <f t="shared" si="4"/>
        <v>3.5200000000000002E-2</v>
      </c>
      <c r="J69" t="str">
        <f t="shared" si="5"/>
        <v>Favourable</v>
      </c>
    </row>
    <row r="70" spans="1:10" x14ac:dyDescent="0.5">
      <c r="A70" t="s">
        <v>14</v>
      </c>
      <c r="B70" t="str">
        <f>CHOOSE(MATCH(A70,{"Jan","Feb","Mar","Apr","May","Jun","Jul","Aug","Sep","Oct","Nov","Dec"},0), "Q1","Q1","Q1", "Q2","Q2","Q2", "Q3","Q3","Q3", "Q4","Q4","Q4")</f>
        <v>Q3</v>
      </c>
      <c r="C70" t="s">
        <v>5</v>
      </c>
      <c r="D70" t="s">
        <v>22</v>
      </c>
      <c r="E70" t="s">
        <v>76</v>
      </c>
      <c r="F70" s="4">
        <v>13125</v>
      </c>
      <c r="G70" s="4">
        <v>13139</v>
      </c>
      <c r="H70" s="7">
        <f t="shared" si="3"/>
        <v>14</v>
      </c>
      <c r="I70" s="9">
        <f t="shared" si="4"/>
        <v>1.0666666666666667E-3</v>
      </c>
      <c r="J70" t="str">
        <f t="shared" si="5"/>
        <v>Favourable</v>
      </c>
    </row>
    <row r="71" spans="1:10" x14ac:dyDescent="0.5">
      <c r="A71" t="s">
        <v>15</v>
      </c>
      <c r="B71" t="str">
        <f>CHOOSE(MATCH(A71,{"Jan","Feb","Mar","Apr","May","Jun","Jul","Aug","Sep","Oct","Nov","Dec"},0), "Q1","Q1","Q1", "Q2","Q2","Q2", "Q3","Q3","Q3", "Q4","Q4","Q4")</f>
        <v>Q4</v>
      </c>
      <c r="C71" t="s">
        <v>5</v>
      </c>
      <c r="D71" t="s">
        <v>22</v>
      </c>
      <c r="E71" t="s">
        <v>76</v>
      </c>
      <c r="F71" s="4">
        <v>13750</v>
      </c>
      <c r="G71" s="4">
        <v>14622</v>
      </c>
      <c r="H71" s="7">
        <f t="shared" si="3"/>
        <v>872</v>
      </c>
      <c r="I71" s="9">
        <f t="shared" si="4"/>
        <v>6.3418181818181818E-2</v>
      </c>
      <c r="J71" t="str">
        <f t="shared" si="5"/>
        <v>Favourable</v>
      </c>
    </row>
    <row r="72" spans="1:10" x14ac:dyDescent="0.5">
      <c r="A72" t="s">
        <v>16</v>
      </c>
      <c r="B72" t="str">
        <f>CHOOSE(MATCH(A72,{"Jan","Feb","Mar","Apr","May","Jun","Jul","Aug","Sep","Oct","Nov","Dec"},0), "Q1","Q1","Q1", "Q2","Q2","Q2", "Q3","Q3","Q3", "Q4","Q4","Q4")</f>
        <v>Q4</v>
      </c>
      <c r="C72" t="s">
        <v>5</v>
      </c>
      <c r="D72" t="s">
        <v>22</v>
      </c>
      <c r="E72" t="s">
        <v>76</v>
      </c>
      <c r="F72" s="4">
        <v>14375</v>
      </c>
      <c r="G72" s="4">
        <v>15882</v>
      </c>
      <c r="H72" s="7">
        <f t="shared" si="3"/>
        <v>1507</v>
      </c>
      <c r="I72" s="9">
        <f t="shared" si="4"/>
        <v>0.10483478260869565</v>
      </c>
      <c r="J72" t="str">
        <f t="shared" si="5"/>
        <v>Favourable</v>
      </c>
    </row>
    <row r="73" spans="1:10" x14ac:dyDescent="0.5">
      <c r="A73" t="s">
        <v>17</v>
      </c>
      <c r="B73" t="str">
        <f>CHOOSE(MATCH(A73,{"Jan","Feb","Mar","Apr","May","Jun","Jul","Aug","Sep","Oct","Nov","Dec"},0), "Q1","Q1","Q1", "Q2","Q2","Q2", "Q3","Q3","Q3", "Q4","Q4","Q4")</f>
        <v>Q4</v>
      </c>
      <c r="C73" t="s">
        <v>5</v>
      </c>
      <c r="D73" t="s">
        <v>22</v>
      </c>
      <c r="E73" t="s">
        <v>76</v>
      </c>
      <c r="F73" s="4">
        <v>19750</v>
      </c>
      <c r="G73" s="4">
        <v>23883</v>
      </c>
      <c r="H73" s="7">
        <f t="shared" si="3"/>
        <v>4133</v>
      </c>
      <c r="I73" s="9">
        <f t="shared" si="4"/>
        <v>0.20926582278481012</v>
      </c>
      <c r="J73" t="str">
        <f t="shared" si="5"/>
        <v>Favourable</v>
      </c>
    </row>
    <row r="74" spans="1:10" x14ac:dyDescent="0.5">
      <c r="A74" t="s">
        <v>4</v>
      </c>
      <c r="B74" t="str">
        <f>CHOOSE(MATCH(A74,{"Jan","Feb","Mar","Apr","May","Jun","Jul","Aug","Sep","Oct","Nov","Dec"},0), "Q1","Q1","Q1", "Q2","Q2","Q2", "Q3","Q3","Q3", "Q4","Q4","Q4")</f>
        <v>Q1</v>
      </c>
      <c r="C74" t="s">
        <v>23</v>
      </c>
      <c r="D74" t="s">
        <v>25</v>
      </c>
      <c r="E74" t="s">
        <v>24</v>
      </c>
      <c r="F74" s="4">
        <v>127500</v>
      </c>
      <c r="G74" s="4">
        <v>126723</v>
      </c>
      <c r="H74" s="7">
        <f t="shared" si="3"/>
        <v>-777</v>
      </c>
      <c r="I74" s="9">
        <f t="shared" si="4"/>
        <v>-6.0941176470588236E-3</v>
      </c>
      <c r="J74" t="str">
        <f t="shared" si="5"/>
        <v>Favourable</v>
      </c>
    </row>
    <row r="75" spans="1:10" x14ac:dyDescent="0.5">
      <c r="A75" t="s">
        <v>7</v>
      </c>
      <c r="B75" t="str">
        <f>CHOOSE(MATCH(A75,{"Jan","Feb","Mar","Apr","May","Jun","Jul","Aug","Sep","Oct","Nov","Dec"},0), "Q1","Q1","Q1", "Q2","Q2","Q2", "Q3","Q3","Q3", "Q4","Q4","Q4")</f>
        <v>Q1</v>
      </c>
      <c r="C75" t="s">
        <v>23</v>
      </c>
      <c r="D75" t="s">
        <v>25</v>
      </c>
      <c r="E75" t="s">
        <v>24</v>
      </c>
      <c r="F75" s="4">
        <v>123000</v>
      </c>
      <c r="G75" s="4">
        <v>121977</v>
      </c>
      <c r="H75" s="7">
        <f t="shared" si="3"/>
        <v>-1023</v>
      </c>
      <c r="I75" s="9">
        <f t="shared" si="4"/>
        <v>-8.3170731707317078E-3</v>
      </c>
      <c r="J75" t="str">
        <f t="shared" si="5"/>
        <v>Favourable</v>
      </c>
    </row>
    <row r="76" spans="1:10" x14ac:dyDescent="0.5">
      <c r="A76" t="s">
        <v>8</v>
      </c>
      <c r="B76" t="str">
        <f>CHOOSE(MATCH(A76,{"Jan","Feb","Mar","Apr","May","Jun","Jul","Aug","Sep","Oct","Nov","Dec"},0), "Q1","Q1","Q1", "Q2","Q2","Q2", "Q3","Q3","Q3", "Q4","Q4","Q4")</f>
        <v>Q1</v>
      </c>
      <c r="C76" t="s">
        <v>23</v>
      </c>
      <c r="D76" t="s">
        <v>25</v>
      </c>
      <c r="E76" t="s">
        <v>24</v>
      </c>
      <c r="F76" s="4">
        <v>138000</v>
      </c>
      <c r="G76" s="4">
        <v>137218</v>
      </c>
      <c r="H76" s="7">
        <f t="shared" si="3"/>
        <v>-782</v>
      </c>
      <c r="I76" s="9">
        <f t="shared" si="4"/>
        <v>-5.6666666666666671E-3</v>
      </c>
      <c r="J76" t="str">
        <f t="shared" si="5"/>
        <v>Favourable</v>
      </c>
    </row>
    <row r="77" spans="1:10" x14ac:dyDescent="0.5">
      <c r="A77" t="s">
        <v>9</v>
      </c>
      <c r="B77" t="str">
        <f>CHOOSE(MATCH(A77,{"Jan","Feb","Mar","Apr","May","Jun","Jul","Aug","Sep","Oct","Nov","Dec"},0), "Q1","Q1","Q1", "Q2","Q2","Q2", "Q3","Q3","Q3", "Q4","Q4","Q4")</f>
        <v>Q2</v>
      </c>
      <c r="C77" t="s">
        <v>23</v>
      </c>
      <c r="D77" t="s">
        <v>25</v>
      </c>
      <c r="E77" t="s">
        <v>24</v>
      </c>
      <c r="F77" s="4">
        <v>142500</v>
      </c>
      <c r="G77" s="4">
        <v>143568</v>
      </c>
      <c r="H77" s="7">
        <f t="shared" si="3"/>
        <v>1068</v>
      </c>
      <c r="I77" s="9">
        <f t="shared" si="4"/>
        <v>7.4947368421052632E-3</v>
      </c>
      <c r="J77" t="str">
        <f t="shared" si="5"/>
        <v>Unfavourable</v>
      </c>
    </row>
    <row r="78" spans="1:10" x14ac:dyDescent="0.5">
      <c r="A78" t="s">
        <v>10</v>
      </c>
      <c r="B78" t="str">
        <f>CHOOSE(MATCH(A78,{"Jan","Feb","Mar","Apr","May","Jun","Jul","Aug","Sep","Oct","Nov","Dec"},0), "Q1","Q1","Q1", "Q2","Q2","Q2", "Q3","Q3","Q3", "Q4","Q4","Q4")</f>
        <v>Q2</v>
      </c>
      <c r="C78" t="s">
        <v>23</v>
      </c>
      <c r="D78" t="s">
        <v>25</v>
      </c>
      <c r="E78" t="s">
        <v>24</v>
      </c>
      <c r="F78" s="4">
        <v>150000</v>
      </c>
      <c r="G78" s="4">
        <v>149560</v>
      </c>
      <c r="H78" s="7">
        <f t="shared" si="3"/>
        <v>-440</v>
      </c>
      <c r="I78" s="9">
        <f>SUM(G78-F78)/F78</f>
        <v>-2.9333333333333334E-3</v>
      </c>
      <c r="J78" t="str">
        <f t="shared" si="5"/>
        <v>Favourable</v>
      </c>
    </row>
    <row r="79" spans="1:10" x14ac:dyDescent="0.5">
      <c r="A79" t="s">
        <v>11</v>
      </c>
      <c r="B79" t="str">
        <f>CHOOSE(MATCH(A79,{"Jan","Feb","Mar","Apr","May","Jun","Jul","Aug","Sep","Oct","Nov","Dec"},0), "Q1","Q1","Q1", "Q2","Q2","Q2", "Q3","Q3","Q3", "Q4","Q4","Q4")</f>
        <v>Q2</v>
      </c>
      <c r="C79" t="s">
        <v>23</v>
      </c>
      <c r="D79" t="s">
        <v>25</v>
      </c>
      <c r="E79" t="s">
        <v>24</v>
      </c>
      <c r="F79" s="4">
        <v>153000</v>
      </c>
      <c r="G79" s="4">
        <v>151344</v>
      </c>
      <c r="H79" s="7">
        <f t="shared" si="3"/>
        <v>-1656</v>
      </c>
      <c r="I79" s="9">
        <f t="shared" si="4"/>
        <v>-1.0823529411764706E-2</v>
      </c>
      <c r="J79" t="str">
        <f t="shared" si="5"/>
        <v>Favourable</v>
      </c>
    </row>
    <row r="80" spans="1:10" x14ac:dyDescent="0.5">
      <c r="A80" t="s">
        <v>12</v>
      </c>
      <c r="B80" t="str">
        <f>CHOOSE(MATCH(A80,{"Jan","Feb","Mar","Apr","May","Jun","Jul","Aug","Sep","Oct","Nov","Dec"},0), "Q1","Q1","Q1", "Q2","Q2","Q2", "Q3","Q3","Q3", "Q4","Q4","Q4")</f>
        <v>Q3</v>
      </c>
      <c r="C80" t="s">
        <v>23</v>
      </c>
      <c r="D80" t="s">
        <v>25</v>
      </c>
      <c r="E80" t="s">
        <v>24</v>
      </c>
      <c r="F80" s="4">
        <v>132000</v>
      </c>
      <c r="G80" s="4">
        <v>132549</v>
      </c>
      <c r="H80" s="7">
        <f t="shared" si="3"/>
        <v>549</v>
      </c>
      <c r="I80" s="9">
        <f t="shared" si="4"/>
        <v>4.1590909090909092E-3</v>
      </c>
      <c r="J80" t="str">
        <f t="shared" si="5"/>
        <v>Unfavourable</v>
      </c>
    </row>
    <row r="81" spans="1:10" x14ac:dyDescent="0.5">
      <c r="A81" t="s">
        <v>13</v>
      </c>
      <c r="B81" t="str">
        <f>CHOOSE(MATCH(A81,{"Jan","Feb","Mar","Apr","May","Jun","Jul","Aug","Sep","Oct","Nov","Dec"},0), "Q1","Q1","Q1", "Q2","Q2","Q2", "Q3","Q3","Q3", "Q4","Q4","Q4")</f>
        <v>Q3</v>
      </c>
      <c r="C81" t="s">
        <v>23</v>
      </c>
      <c r="D81" t="s">
        <v>25</v>
      </c>
      <c r="E81" t="s">
        <v>24</v>
      </c>
      <c r="F81" s="4">
        <v>127500</v>
      </c>
      <c r="G81" s="4">
        <v>127476</v>
      </c>
      <c r="H81" s="7">
        <f t="shared" si="3"/>
        <v>-24</v>
      </c>
      <c r="I81" s="9">
        <f t="shared" si="4"/>
        <v>-1.8823529411764707E-4</v>
      </c>
      <c r="J81" t="str">
        <f t="shared" si="5"/>
        <v>Favourable</v>
      </c>
    </row>
    <row r="82" spans="1:10" x14ac:dyDescent="0.5">
      <c r="A82" t="s">
        <v>14</v>
      </c>
      <c r="B82" t="str">
        <f>CHOOSE(MATCH(A82,{"Jan","Feb","Mar","Apr","May","Jun","Jul","Aug","Sep","Oct","Nov","Dec"},0), "Q1","Q1","Q1", "Q2","Q2","Q2", "Q3","Q3","Q3", "Q4","Q4","Q4")</f>
        <v>Q3</v>
      </c>
      <c r="C82" t="s">
        <v>23</v>
      </c>
      <c r="D82" t="s">
        <v>25</v>
      </c>
      <c r="E82" t="s">
        <v>24</v>
      </c>
      <c r="F82" s="4">
        <v>150000</v>
      </c>
      <c r="G82" s="4">
        <v>150252</v>
      </c>
      <c r="H82" s="7">
        <f t="shared" si="3"/>
        <v>252</v>
      </c>
      <c r="I82" s="9">
        <f t="shared" si="4"/>
        <v>1.6800000000000001E-3</v>
      </c>
      <c r="J82" t="str">
        <f t="shared" si="5"/>
        <v>Unfavourable</v>
      </c>
    </row>
    <row r="83" spans="1:10" x14ac:dyDescent="0.5">
      <c r="A83" t="s">
        <v>15</v>
      </c>
      <c r="B83" t="str">
        <f>CHOOSE(MATCH(A83,{"Jan","Feb","Mar","Apr","May","Jun","Jul","Aug","Sep","Oct","Nov","Dec"},0), "Q1","Q1","Q1", "Q2","Q2","Q2", "Q3","Q3","Q3", "Q4","Q4","Q4")</f>
        <v>Q4</v>
      </c>
      <c r="C83" t="s">
        <v>23</v>
      </c>
      <c r="D83" t="s">
        <v>25</v>
      </c>
      <c r="E83" t="s">
        <v>24</v>
      </c>
      <c r="F83" s="4">
        <v>157500</v>
      </c>
      <c r="G83" s="4">
        <v>158907</v>
      </c>
      <c r="H83" s="7">
        <f t="shared" si="3"/>
        <v>1407</v>
      </c>
      <c r="I83" s="9">
        <f t="shared" si="4"/>
        <v>8.9333333333333331E-3</v>
      </c>
      <c r="J83" t="str">
        <f t="shared" si="5"/>
        <v>Unfavourable</v>
      </c>
    </row>
    <row r="84" spans="1:10" x14ac:dyDescent="0.5">
      <c r="A84" t="s">
        <v>16</v>
      </c>
      <c r="B84" t="str">
        <f>CHOOSE(MATCH(A84,{"Jan","Feb","Mar","Apr","May","Jun","Jul","Aug","Sep","Oct","Nov","Dec"},0), "Q1","Q1","Q1", "Q2","Q2","Q2", "Q3","Q3","Q3", "Q4","Q4","Q4")</f>
        <v>Q4</v>
      </c>
      <c r="C84" t="s">
        <v>23</v>
      </c>
      <c r="D84" t="s">
        <v>25</v>
      </c>
      <c r="E84" t="s">
        <v>24</v>
      </c>
      <c r="F84" s="4">
        <v>162000</v>
      </c>
      <c r="G84" s="4">
        <v>160362</v>
      </c>
      <c r="H84" s="7">
        <f t="shared" si="3"/>
        <v>-1638</v>
      </c>
      <c r="I84" s="9">
        <f t="shared" si="4"/>
        <v>-1.0111111111111111E-2</v>
      </c>
      <c r="J84" t="str">
        <f t="shared" si="5"/>
        <v>Favourable</v>
      </c>
    </row>
    <row r="85" spans="1:10" x14ac:dyDescent="0.5">
      <c r="A85" t="s">
        <v>17</v>
      </c>
      <c r="B85" t="str">
        <f>CHOOSE(MATCH(A85,{"Jan","Feb","Mar","Apr","May","Jun","Jul","Aug","Sep","Oct","Nov","Dec"},0), "Q1","Q1","Q1", "Q2","Q2","Q2", "Q3","Q3","Q3", "Q4","Q4","Q4")</f>
        <v>Q4</v>
      </c>
      <c r="C85" t="s">
        <v>23</v>
      </c>
      <c r="D85" t="s">
        <v>25</v>
      </c>
      <c r="E85" t="s">
        <v>24</v>
      </c>
      <c r="F85" s="4">
        <v>237000</v>
      </c>
      <c r="G85" s="4">
        <v>237903</v>
      </c>
      <c r="H85" s="7">
        <f t="shared" si="3"/>
        <v>903</v>
      </c>
      <c r="I85" s="9">
        <f t="shared" si="4"/>
        <v>3.8101265822784811E-3</v>
      </c>
      <c r="J85" t="str">
        <f t="shared" si="5"/>
        <v>Unfavourable</v>
      </c>
    </row>
    <row r="86" spans="1:10" x14ac:dyDescent="0.5">
      <c r="A86" t="s">
        <v>4</v>
      </c>
      <c r="B86" t="str">
        <f>CHOOSE(MATCH(A86,{"Jan","Feb","Mar","Apr","May","Jun","Jul","Aug","Sep","Oct","Nov","Dec"},0), "Q1","Q1","Q1", "Q2","Q2","Q2", "Q3","Q3","Q3", "Q4","Q4","Q4")</f>
        <v>Q1</v>
      </c>
      <c r="C86" t="s">
        <v>23</v>
      </c>
      <c r="D86" t="s">
        <v>26</v>
      </c>
      <c r="E86" t="s">
        <v>24</v>
      </c>
      <c r="F86" s="4">
        <v>29750</v>
      </c>
      <c r="G86" s="4">
        <v>31575</v>
      </c>
      <c r="H86" s="7">
        <f t="shared" si="3"/>
        <v>1825</v>
      </c>
      <c r="I86" s="9">
        <f t="shared" si="4"/>
        <v>6.1344537815126048E-2</v>
      </c>
      <c r="J86" t="str">
        <f t="shared" si="5"/>
        <v>Unfavourable</v>
      </c>
    </row>
    <row r="87" spans="1:10" x14ac:dyDescent="0.5">
      <c r="A87" t="s">
        <v>7</v>
      </c>
      <c r="B87" t="str">
        <f>CHOOSE(MATCH(A87,{"Jan","Feb","Mar","Apr","May","Jun","Jul","Aug","Sep","Oct","Nov","Dec"},0), "Q1","Q1","Q1", "Q2","Q2","Q2", "Q3","Q3","Q3", "Q4","Q4","Q4")</f>
        <v>Q1</v>
      </c>
      <c r="C87" t="s">
        <v>23</v>
      </c>
      <c r="D87" t="s">
        <v>26</v>
      </c>
      <c r="E87" t="s">
        <v>24</v>
      </c>
      <c r="F87" s="4">
        <v>28700</v>
      </c>
      <c r="G87" s="4">
        <v>28657</v>
      </c>
      <c r="H87" s="7">
        <f t="shared" si="3"/>
        <v>-43</v>
      </c>
      <c r="I87" s="9">
        <f t="shared" si="4"/>
        <v>-1.4982578397212544E-3</v>
      </c>
      <c r="J87" t="str">
        <f t="shared" si="5"/>
        <v>Favourable</v>
      </c>
    </row>
    <row r="88" spans="1:10" x14ac:dyDescent="0.5">
      <c r="A88" t="s">
        <v>8</v>
      </c>
      <c r="B88" t="str">
        <f>CHOOSE(MATCH(A88,{"Jan","Feb","Mar","Apr","May","Jun","Jul","Aug","Sep","Oct","Nov","Dec"},0), "Q1","Q1","Q1", "Q2","Q2","Q2", "Q3","Q3","Q3", "Q4","Q4","Q4")</f>
        <v>Q1</v>
      </c>
      <c r="C88" t="s">
        <v>23</v>
      </c>
      <c r="D88" t="s">
        <v>26</v>
      </c>
      <c r="E88" t="s">
        <v>24</v>
      </c>
      <c r="F88" s="4">
        <v>32200</v>
      </c>
      <c r="G88" s="4">
        <v>35344</v>
      </c>
      <c r="H88" s="7">
        <f t="shared" si="3"/>
        <v>3144</v>
      </c>
      <c r="I88" s="9">
        <f t="shared" si="4"/>
        <v>9.7639751552795029E-2</v>
      </c>
      <c r="J88" t="str">
        <f t="shared" si="5"/>
        <v>Unfavourable</v>
      </c>
    </row>
    <row r="89" spans="1:10" x14ac:dyDescent="0.5">
      <c r="A89" t="s">
        <v>9</v>
      </c>
      <c r="B89" t="str">
        <f>CHOOSE(MATCH(A89,{"Jan","Feb","Mar","Apr","May","Jun","Jul","Aug","Sep","Oct","Nov","Dec"},0), "Q1","Q1","Q1", "Q2","Q2","Q2", "Q3","Q3","Q3", "Q4","Q4","Q4")</f>
        <v>Q2</v>
      </c>
      <c r="C89" t="s">
        <v>23</v>
      </c>
      <c r="D89" t="s">
        <v>26</v>
      </c>
      <c r="E89" t="s">
        <v>24</v>
      </c>
      <c r="F89" s="4">
        <v>33250</v>
      </c>
      <c r="G89" s="4">
        <v>32653</v>
      </c>
      <c r="H89" s="7">
        <f t="shared" si="3"/>
        <v>-597</v>
      </c>
      <c r="I89" s="9">
        <f t="shared" si="4"/>
        <v>-1.7954887218045112E-2</v>
      </c>
      <c r="J89" t="str">
        <f t="shared" si="5"/>
        <v>Favourable</v>
      </c>
    </row>
    <row r="90" spans="1:10" x14ac:dyDescent="0.5">
      <c r="A90" t="s">
        <v>10</v>
      </c>
      <c r="B90" t="str">
        <f>CHOOSE(MATCH(A90,{"Jan","Feb","Mar","Apr","May","Jun","Jul","Aug","Sep","Oct","Nov","Dec"},0), "Q1","Q1","Q1", "Q2","Q2","Q2", "Q3","Q3","Q3", "Q4","Q4","Q4")</f>
        <v>Q2</v>
      </c>
      <c r="C90" t="s">
        <v>23</v>
      </c>
      <c r="D90" t="s">
        <v>26</v>
      </c>
      <c r="E90" t="s">
        <v>24</v>
      </c>
      <c r="F90" s="4">
        <v>35000</v>
      </c>
      <c r="G90" s="4">
        <v>37788</v>
      </c>
      <c r="H90" s="7">
        <f t="shared" si="3"/>
        <v>2788</v>
      </c>
      <c r="I90" s="9">
        <f t="shared" si="4"/>
        <v>7.9657142857142857E-2</v>
      </c>
      <c r="J90" t="str">
        <f t="shared" si="5"/>
        <v>Unfavourable</v>
      </c>
    </row>
    <row r="91" spans="1:10" x14ac:dyDescent="0.5">
      <c r="A91" t="s">
        <v>11</v>
      </c>
      <c r="B91" t="str">
        <f>CHOOSE(MATCH(A91,{"Jan","Feb","Mar","Apr","May","Jun","Jul","Aug","Sep","Oct","Nov","Dec"},0), "Q1","Q1","Q1", "Q2","Q2","Q2", "Q3","Q3","Q3", "Q4","Q4","Q4")</f>
        <v>Q2</v>
      </c>
      <c r="C91" t="s">
        <v>23</v>
      </c>
      <c r="D91" t="s">
        <v>26</v>
      </c>
      <c r="E91" t="s">
        <v>24</v>
      </c>
      <c r="F91" s="4">
        <v>35700</v>
      </c>
      <c r="G91" s="4">
        <v>35905</v>
      </c>
      <c r="H91" s="7">
        <f t="shared" si="3"/>
        <v>205</v>
      </c>
      <c r="I91" s="9">
        <f t="shared" si="4"/>
        <v>5.7422969187675074E-3</v>
      </c>
      <c r="J91" t="str">
        <f t="shared" si="5"/>
        <v>Unfavourable</v>
      </c>
    </row>
    <row r="92" spans="1:10" x14ac:dyDescent="0.5">
      <c r="A92" t="s">
        <v>12</v>
      </c>
      <c r="B92" t="str">
        <f>CHOOSE(MATCH(A92,{"Jan","Feb","Mar","Apr","May","Jun","Jul","Aug","Sep","Oct","Nov","Dec"},0), "Q1","Q1","Q1", "Q2","Q2","Q2", "Q3","Q3","Q3", "Q4","Q4","Q4")</f>
        <v>Q3</v>
      </c>
      <c r="C92" t="s">
        <v>23</v>
      </c>
      <c r="D92" t="s">
        <v>26</v>
      </c>
      <c r="E92" t="s">
        <v>24</v>
      </c>
      <c r="F92" s="4">
        <v>30800</v>
      </c>
      <c r="G92" s="4">
        <v>31237</v>
      </c>
      <c r="H92" s="7">
        <f t="shared" si="3"/>
        <v>437</v>
      </c>
      <c r="I92" s="9">
        <f t="shared" si="4"/>
        <v>1.4188311688311687E-2</v>
      </c>
      <c r="J92" t="str">
        <f t="shared" si="5"/>
        <v>Unfavourable</v>
      </c>
    </row>
    <row r="93" spans="1:10" x14ac:dyDescent="0.5">
      <c r="A93" t="s">
        <v>13</v>
      </c>
      <c r="B93" t="str">
        <f>CHOOSE(MATCH(A93,{"Jan","Feb","Mar","Apr","May","Jun","Jul","Aug","Sep","Oct","Nov","Dec"},0), "Q1","Q1","Q1", "Q2","Q2","Q2", "Q3","Q3","Q3", "Q4","Q4","Q4")</f>
        <v>Q3</v>
      </c>
      <c r="C93" t="s">
        <v>23</v>
      </c>
      <c r="D93" t="s">
        <v>26</v>
      </c>
      <c r="E93" t="s">
        <v>24</v>
      </c>
      <c r="F93" s="4">
        <v>29750</v>
      </c>
      <c r="G93" s="4">
        <v>29261</v>
      </c>
      <c r="H93" s="7">
        <f t="shared" si="3"/>
        <v>-489</v>
      </c>
      <c r="I93" s="9">
        <f t="shared" si="4"/>
        <v>-1.6436974789915966E-2</v>
      </c>
      <c r="J93" t="str">
        <f t="shared" si="5"/>
        <v>Favourable</v>
      </c>
    </row>
    <row r="94" spans="1:10" x14ac:dyDescent="0.5">
      <c r="A94" t="s">
        <v>14</v>
      </c>
      <c r="B94" t="str">
        <f>CHOOSE(MATCH(A94,{"Jan","Feb","Mar","Apr","May","Jun","Jul","Aug","Sep","Oct","Nov","Dec"},0), "Q1","Q1","Q1", "Q2","Q2","Q2", "Q3","Q3","Q3", "Q4","Q4","Q4")</f>
        <v>Q3</v>
      </c>
      <c r="C94" t="s">
        <v>23</v>
      </c>
      <c r="D94" t="s">
        <v>26</v>
      </c>
      <c r="E94" t="s">
        <v>24</v>
      </c>
      <c r="F94" s="4">
        <v>35000</v>
      </c>
      <c r="G94" s="4">
        <v>36136</v>
      </c>
      <c r="H94" s="7">
        <f t="shared" si="3"/>
        <v>1136</v>
      </c>
      <c r="I94" s="9">
        <f t="shared" si="4"/>
        <v>3.2457142857142858E-2</v>
      </c>
      <c r="J94" t="str">
        <f t="shared" si="5"/>
        <v>Unfavourable</v>
      </c>
    </row>
    <row r="95" spans="1:10" x14ac:dyDescent="0.5">
      <c r="A95" t="s">
        <v>15</v>
      </c>
      <c r="B95" t="str">
        <f>CHOOSE(MATCH(A95,{"Jan","Feb","Mar","Apr","May","Jun","Jul","Aug","Sep","Oct","Nov","Dec"},0), "Q1","Q1","Q1", "Q2","Q2","Q2", "Q3","Q3","Q3", "Q4","Q4","Q4")</f>
        <v>Q4</v>
      </c>
      <c r="C95" t="s">
        <v>23</v>
      </c>
      <c r="D95" t="s">
        <v>26</v>
      </c>
      <c r="E95" t="s">
        <v>24</v>
      </c>
      <c r="F95" s="4">
        <v>36750</v>
      </c>
      <c r="G95" s="4">
        <v>40835</v>
      </c>
      <c r="H95" s="7">
        <f t="shared" si="3"/>
        <v>4085</v>
      </c>
      <c r="I95" s="9">
        <f t="shared" si="4"/>
        <v>0.11115646258503402</v>
      </c>
      <c r="J95" t="str">
        <f t="shared" si="5"/>
        <v>Unfavourable</v>
      </c>
    </row>
    <row r="96" spans="1:10" x14ac:dyDescent="0.5">
      <c r="A96" t="s">
        <v>16</v>
      </c>
      <c r="B96" t="str">
        <f>CHOOSE(MATCH(A96,{"Jan","Feb","Mar","Apr","May","Jun","Jul","Aug","Sep","Oct","Nov","Dec"},0), "Q1","Q1","Q1", "Q2","Q2","Q2", "Q3","Q3","Q3", "Q4","Q4","Q4")</f>
        <v>Q4</v>
      </c>
      <c r="C96" t="s">
        <v>23</v>
      </c>
      <c r="D96" t="s">
        <v>26</v>
      </c>
      <c r="E96" t="s">
        <v>24</v>
      </c>
      <c r="F96" s="4">
        <v>37800</v>
      </c>
      <c r="G96" s="4">
        <v>40855</v>
      </c>
      <c r="H96" s="7">
        <f t="shared" si="3"/>
        <v>3055</v>
      </c>
      <c r="I96" s="9">
        <f t="shared" si="4"/>
        <v>8.082010582010582E-2</v>
      </c>
      <c r="J96" t="str">
        <f t="shared" si="5"/>
        <v>Unfavourable</v>
      </c>
    </row>
    <row r="97" spans="1:10" x14ac:dyDescent="0.5">
      <c r="A97" t="s">
        <v>17</v>
      </c>
      <c r="B97" t="str">
        <f>CHOOSE(MATCH(A97,{"Jan","Feb","Mar","Apr","May","Jun","Jul","Aug","Sep","Oct","Nov","Dec"},0), "Q1","Q1","Q1", "Q2","Q2","Q2", "Q3","Q3","Q3", "Q4","Q4","Q4")</f>
        <v>Q4</v>
      </c>
      <c r="C97" t="s">
        <v>23</v>
      </c>
      <c r="D97" t="s">
        <v>26</v>
      </c>
      <c r="E97" t="s">
        <v>24</v>
      </c>
      <c r="F97" s="4">
        <v>55300</v>
      </c>
      <c r="G97" s="4">
        <v>59417</v>
      </c>
      <c r="H97" s="7">
        <f t="shared" si="3"/>
        <v>4117</v>
      </c>
      <c r="I97" s="9">
        <f t="shared" si="4"/>
        <v>7.4448462929475587E-2</v>
      </c>
      <c r="J97" t="str">
        <f t="shared" si="5"/>
        <v>Unfavourable</v>
      </c>
    </row>
    <row r="98" spans="1:10" x14ac:dyDescent="0.5">
      <c r="A98" t="s">
        <v>4</v>
      </c>
      <c r="B98" t="str">
        <f>CHOOSE(MATCH(A98,{"Jan","Feb","Mar","Apr","May","Jun","Jul","Aug","Sep","Oct","Nov","Dec"},0), "Q1","Q1","Q1", "Q2","Q2","Q2", "Q3","Q3","Q3", "Q4","Q4","Q4")</f>
        <v>Q1</v>
      </c>
      <c r="C98" t="s">
        <v>23</v>
      </c>
      <c r="D98" t="s">
        <v>27</v>
      </c>
      <c r="E98" t="s">
        <v>24</v>
      </c>
      <c r="F98" s="4">
        <v>26917</v>
      </c>
      <c r="G98" s="4">
        <v>23719</v>
      </c>
      <c r="H98" s="7">
        <f t="shared" si="3"/>
        <v>-3198</v>
      </c>
      <c r="I98" s="9">
        <f t="shared" si="4"/>
        <v>-0.11880967418360144</v>
      </c>
      <c r="J98" t="str">
        <f t="shared" si="5"/>
        <v>Favourable</v>
      </c>
    </row>
    <row r="99" spans="1:10" x14ac:dyDescent="0.5">
      <c r="A99" t="s">
        <v>7</v>
      </c>
      <c r="B99" t="str">
        <f>CHOOSE(MATCH(A99,{"Jan","Feb","Mar","Apr","May","Jun","Jul","Aug","Sep","Oct","Nov","Dec"},0), "Q1","Q1","Q1", "Q2","Q2","Q2", "Q3","Q3","Q3", "Q4","Q4","Q4")</f>
        <v>Q1</v>
      </c>
      <c r="C99" t="s">
        <v>23</v>
      </c>
      <c r="D99" t="s">
        <v>27</v>
      </c>
      <c r="E99" t="s">
        <v>24</v>
      </c>
      <c r="F99" s="4">
        <v>25967</v>
      </c>
      <c r="G99" s="4">
        <v>26890</v>
      </c>
      <c r="H99" s="7">
        <f t="shared" si="3"/>
        <v>923</v>
      </c>
      <c r="I99" s="9">
        <f t="shared" si="4"/>
        <v>3.5545114953594949E-2</v>
      </c>
      <c r="J99" t="str">
        <f t="shared" si="5"/>
        <v>Unfavourable</v>
      </c>
    </row>
    <row r="100" spans="1:10" x14ac:dyDescent="0.5">
      <c r="A100" t="s">
        <v>8</v>
      </c>
      <c r="B100" t="str">
        <f>CHOOSE(MATCH(A100,{"Jan","Feb","Mar","Apr","May","Jun","Jul","Aug","Sep","Oct","Nov","Dec"},0), "Q1","Q1","Q1", "Q2","Q2","Q2", "Q3","Q3","Q3", "Q4","Q4","Q4")</f>
        <v>Q1</v>
      </c>
      <c r="C100" t="s">
        <v>23</v>
      </c>
      <c r="D100" t="s">
        <v>27</v>
      </c>
      <c r="E100" t="s">
        <v>24</v>
      </c>
      <c r="F100" s="4">
        <v>29133</v>
      </c>
      <c r="G100" s="4">
        <v>29943</v>
      </c>
      <c r="H100" s="7">
        <f t="shared" si="3"/>
        <v>810</v>
      </c>
      <c r="I100" s="9">
        <f t="shared" si="4"/>
        <v>2.7803521779425393E-2</v>
      </c>
      <c r="J100" t="str">
        <f t="shared" si="5"/>
        <v>Unfavourable</v>
      </c>
    </row>
    <row r="101" spans="1:10" x14ac:dyDescent="0.5">
      <c r="A101" t="s">
        <v>9</v>
      </c>
      <c r="B101" t="str">
        <f>CHOOSE(MATCH(A101,{"Jan","Feb","Mar","Apr","May","Jun","Jul","Aug","Sep","Oct","Nov","Dec"},0), "Q1","Q1","Q1", "Q2","Q2","Q2", "Q3","Q3","Q3", "Q4","Q4","Q4")</f>
        <v>Q2</v>
      </c>
      <c r="C101" t="s">
        <v>23</v>
      </c>
      <c r="D101" t="s">
        <v>27</v>
      </c>
      <c r="E101" t="s">
        <v>24</v>
      </c>
      <c r="F101" s="4">
        <v>30083</v>
      </c>
      <c r="G101" s="4">
        <v>29256</v>
      </c>
      <c r="H101" s="7">
        <f t="shared" si="3"/>
        <v>-827</v>
      </c>
      <c r="I101" s="9">
        <f t="shared" si="4"/>
        <v>-2.749060931423063E-2</v>
      </c>
      <c r="J101" t="str">
        <f t="shared" si="5"/>
        <v>Favourable</v>
      </c>
    </row>
    <row r="102" spans="1:10" x14ac:dyDescent="0.5">
      <c r="A102" t="s">
        <v>10</v>
      </c>
      <c r="B102" t="str">
        <f>CHOOSE(MATCH(A102,{"Jan","Feb","Mar","Apr","May","Jun","Jul","Aug","Sep","Oct","Nov","Dec"},0), "Q1","Q1","Q1", "Q2","Q2","Q2", "Q3","Q3","Q3", "Q4","Q4","Q4")</f>
        <v>Q2</v>
      </c>
      <c r="C102" t="s">
        <v>23</v>
      </c>
      <c r="D102" t="s">
        <v>27</v>
      </c>
      <c r="E102" t="s">
        <v>24</v>
      </c>
      <c r="F102" s="4">
        <v>31667</v>
      </c>
      <c r="G102" s="4">
        <v>30674</v>
      </c>
      <c r="H102" s="7">
        <f t="shared" si="3"/>
        <v>-993</v>
      </c>
      <c r="I102" s="9">
        <f t="shared" si="4"/>
        <v>-3.1357564657214135E-2</v>
      </c>
      <c r="J102" t="str">
        <f t="shared" si="5"/>
        <v>Favourable</v>
      </c>
    </row>
    <row r="103" spans="1:10" x14ac:dyDescent="0.5">
      <c r="A103" t="s">
        <v>11</v>
      </c>
      <c r="B103" t="str">
        <f>CHOOSE(MATCH(A103,{"Jan","Feb","Mar","Apr","May","Jun","Jul","Aug","Sep","Oct","Nov","Dec"},0), "Q1","Q1","Q1", "Q2","Q2","Q2", "Q3","Q3","Q3", "Q4","Q4","Q4")</f>
        <v>Q2</v>
      </c>
      <c r="C103" t="s">
        <v>23</v>
      </c>
      <c r="D103" t="s">
        <v>27</v>
      </c>
      <c r="E103" t="s">
        <v>24</v>
      </c>
      <c r="F103" s="4">
        <v>32300</v>
      </c>
      <c r="G103" s="4">
        <v>32296</v>
      </c>
      <c r="H103" s="7">
        <f t="shared" si="3"/>
        <v>-4</v>
      </c>
      <c r="I103" s="9">
        <f t="shared" si="4"/>
        <v>-1.238390092879257E-4</v>
      </c>
      <c r="J103" t="str">
        <f t="shared" si="5"/>
        <v>Favourable</v>
      </c>
    </row>
    <row r="104" spans="1:10" x14ac:dyDescent="0.5">
      <c r="A104" t="s">
        <v>12</v>
      </c>
      <c r="B104" t="str">
        <f>CHOOSE(MATCH(A104,{"Jan","Feb","Mar","Apr","May","Jun","Jul","Aug","Sep","Oct","Nov","Dec"},0), "Q1","Q1","Q1", "Q2","Q2","Q2", "Q3","Q3","Q3", "Q4","Q4","Q4")</f>
        <v>Q3</v>
      </c>
      <c r="C104" t="s">
        <v>23</v>
      </c>
      <c r="D104" t="s">
        <v>27</v>
      </c>
      <c r="E104" t="s">
        <v>24</v>
      </c>
      <c r="F104" s="4">
        <v>27867</v>
      </c>
      <c r="G104" s="4">
        <v>31385</v>
      </c>
      <c r="H104" s="7">
        <f t="shared" si="3"/>
        <v>3518</v>
      </c>
      <c r="I104" s="9">
        <f t="shared" si="4"/>
        <v>0.1262425090608964</v>
      </c>
      <c r="J104" t="str">
        <f t="shared" si="5"/>
        <v>Unfavourable</v>
      </c>
    </row>
    <row r="105" spans="1:10" x14ac:dyDescent="0.5">
      <c r="A105" t="s">
        <v>13</v>
      </c>
      <c r="B105" t="str">
        <f>CHOOSE(MATCH(A105,{"Jan","Feb","Mar","Apr","May","Jun","Jul","Aug","Sep","Oct","Nov","Dec"},0), "Q1","Q1","Q1", "Q2","Q2","Q2", "Q3","Q3","Q3", "Q4","Q4","Q4")</f>
        <v>Q3</v>
      </c>
      <c r="C105" t="s">
        <v>23</v>
      </c>
      <c r="D105" t="s">
        <v>27</v>
      </c>
      <c r="E105" t="s">
        <v>24</v>
      </c>
      <c r="F105" s="4">
        <v>26917</v>
      </c>
      <c r="G105" s="4">
        <v>26574</v>
      </c>
      <c r="H105" s="7">
        <f t="shared" si="3"/>
        <v>-343</v>
      </c>
      <c r="I105" s="9">
        <f t="shared" si="4"/>
        <v>-1.2742876249210536E-2</v>
      </c>
      <c r="J105" t="str">
        <f t="shared" si="5"/>
        <v>Favourable</v>
      </c>
    </row>
    <row r="106" spans="1:10" x14ac:dyDescent="0.5">
      <c r="A106" t="s">
        <v>14</v>
      </c>
      <c r="B106" t="str">
        <f>CHOOSE(MATCH(A106,{"Jan","Feb","Mar","Apr","May","Jun","Jul","Aug","Sep","Oct","Nov","Dec"},0), "Q1","Q1","Q1", "Q2","Q2","Q2", "Q3","Q3","Q3", "Q4","Q4","Q4")</f>
        <v>Q3</v>
      </c>
      <c r="C106" t="s">
        <v>23</v>
      </c>
      <c r="D106" t="s">
        <v>27</v>
      </c>
      <c r="E106" t="s">
        <v>24</v>
      </c>
      <c r="F106" s="4">
        <v>31667</v>
      </c>
      <c r="G106" s="4">
        <v>32256</v>
      </c>
      <c r="H106" s="7">
        <f t="shared" si="3"/>
        <v>589</v>
      </c>
      <c r="I106" s="9">
        <f t="shared" si="4"/>
        <v>1.8599804212587237E-2</v>
      </c>
      <c r="J106" t="str">
        <f t="shared" si="5"/>
        <v>Unfavourable</v>
      </c>
    </row>
    <row r="107" spans="1:10" x14ac:dyDescent="0.5">
      <c r="A107" t="s">
        <v>15</v>
      </c>
      <c r="B107" t="str">
        <f>CHOOSE(MATCH(A107,{"Jan","Feb","Mar","Apr","May","Jun","Jul","Aug","Sep","Oct","Nov","Dec"},0), "Q1","Q1","Q1", "Q2","Q2","Q2", "Q3","Q3","Q3", "Q4","Q4","Q4")</f>
        <v>Q4</v>
      </c>
      <c r="C107" t="s">
        <v>23</v>
      </c>
      <c r="D107" t="s">
        <v>27</v>
      </c>
      <c r="E107" t="s">
        <v>24</v>
      </c>
      <c r="F107" s="4">
        <v>33250</v>
      </c>
      <c r="G107" s="4">
        <v>36844</v>
      </c>
      <c r="H107" s="7">
        <f t="shared" si="3"/>
        <v>3594</v>
      </c>
      <c r="I107" s="9">
        <f t="shared" si="4"/>
        <v>0.10809022556390978</v>
      </c>
      <c r="J107" t="str">
        <f t="shared" si="5"/>
        <v>Unfavourable</v>
      </c>
    </row>
    <row r="108" spans="1:10" x14ac:dyDescent="0.5">
      <c r="A108" t="s">
        <v>16</v>
      </c>
      <c r="B108" t="str">
        <f>CHOOSE(MATCH(A108,{"Jan","Feb","Mar","Apr","May","Jun","Jul","Aug","Sep","Oct","Nov","Dec"},0), "Q1","Q1","Q1", "Q2","Q2","Q2", "Q3","Q3","Q3", "Q4","Q4","Q4")</f>
        <v>Q4</v>
      </c>
      <c r="C108" t="s">
        <v>23</v>
      </c>
      <c r="D108" t="s">
        <v>27</v>
      </c>
      <c r="E108" t="s">
        <v>24</v>
      </c>
      <c r="F108" s="4">
        <v>34200</v>
      </c>
      <c r="G108" s="4">
        <v>34805</v>
      </c>
      <c r="H108" s="7">
        <f t="shared" si="3"/>
        <v>605</v>
      </c>
      <c r="I108" s="9">
        <f t="shared" si="4"/>
        <v>1.7690058479532162E-2</v>
      </c>
      <c r="J108" t="str">
        <f t="shared" si="5"/>
        <v>Unfavourable</v>
      </c>
    </row>
    <row r="109" spans="1:10" x14ac:dyDescent="0.5">
      <c r="A109" t="s">
        <v>17</v>
      </c>
      <c r="B109" t="str">
        <f>CHOOSE(MATCH(A109,{"Jan","Feb","Mar","Apr","May","Jun","Jul","Aug","Sep","Oct","Nov","Dec"},0), "Q1","Q1","Q1", "Q2","Q2","Q2", "Q3","Q3","Q3", "Q4","Q4","Q4")</f>
        <v>Q4</v>
      </c>
      <c r="C109" t="s">
        <v>23</v>
      </c>
      <c r="D109" t="s">
        <v>27</v>
      </c>
      <c r="E109" t="s">
        <v>24</v>
      </c>
      <c r="F109" s="4">
        <v>50033</v>
      </c>
      <c r="G109" s="4">
        <v>51123</v>
      </c>
      <c r="H109" s="7">
        <f t="shared" si="3"/>
        <v>1090</v>
      </c>
      <c r="I109" s="9">
        <f t="shared" si="4"/>
        <v>2.178562148981672E-2</v>
      </c>
      <c r="J109" t="str">
        <f t="shared" si="5"/>
        <v>Unfavourable</v>
      </c>
    </row>
    <row r="110" spans="1:10" x14ac:dyDescent="0.5">
      <c r="A110" t="s">
        <v>4</v>
      </c>
      <c r="B110" t="str">
        <f>CHOOSE(MATCH(A110,{"Jan","Feb","Mar","Apr","May","Jun","Jul","Aug","Sep","Oct","Nov","Dec"},0), "Q1","Q1","Q1", "Q2","Q2","Q2", "Q3","Q3","Q3", "Q4","Q4","Q4")</f>
        <v>Q1</v>
      </c>
      <c r="C110" t="s">
        <v>23</v>
      </c>
      <c r="D110" t="s">
        <v>28</v>
      </c>
      <c r="E110" t="s">
        <v>24</v>
      </c>
      <c r="F110" s="4">
        <v>8500</v>
      </c>
      <c r="G110" s="4">
        <v>8542</v>
      </c>
      <c r="H110" s="7">
        <f t="shared" si="3"/>
        <v>42</v>
      </c>
      <c r="I110" s="9">
        <f t="shared" si="4"/>
        <v>4.9411764705882353E-3</v>
      </c>
      <c r="J110" t="str">
        <f t="shared" si="5"/>
        <v>Unfavourable</v>
      </c>
    </row>
    <row r="111" spans="1:10" x14ac:dyDescent="0.5">
      <c r="A111" t="s">
        <v>7</v>
      </c>
      <c r="B111" t="str">
        <f>CHOOSE(MATCH(A111,{"Jan","Feb","Mar","Apr","May","Jun","Jul","Aug","Sep","Oct","Nov","Dec"},0), "Q1","Q1","Q1", "Q2","Q2","Q2", "Q3","Q3","Q3", "Q4","Q4","Q4")</f>
        <v>Q1</v>
      </c>
      <c r="C111" t="s">
        <v>23</v>
      </c>
      <c r="D111" t="s">
        <v>28</v>
      </c>
      <c r="E111" t="s">
        <v>24</v>
      </c>
      <c r="F111" s="4">
        <v>8200</v>
      </c>
      <c r="G111" s="4">
        <v>7691</v>
      </c>
      <c r="H111" s="7">
        <f t="shared" si="3"/>
        <v>-509</v>
      </c>
      <c r="I111" s="9">
        <f t="shared" si="4"/>
        <v>-6.2073170731707317E-2</v>
      </c>
      <c r="J111" t="str">
        <f t="shared" si="5"/>
        <v>Favourable</v>
      </c>
    </row>
    <row r="112" spans="1:10" x14ac:dyDescent="0.5">
      <c r="A112" t="s">
        <v>8</v>
      </c>
      <c r="B112" t="str">
        <f>CHOOSE(MATCH(A112,{"Jan","Feb","Mar","Apr","May","Jun","Jul","Aug","Sep","Oct","Nov","Dec"},0), "Q1","Q1","Q1", "Q2","Q2","Q2", "Q3","Q3","Q3", "Q4","Q4","Q4")</f>
        <v>Q1</v>
      </c>
      <c r="C112" t="s">
        <v>23</v>
      </c>
      <c r="D112" t="s">
        <v>28</v>
      </c>
      <c r="E112" t="s">
        <v>24</v>
      </c>
      <c r="F112" s="4">
        <v>9200</v>
      </c>
      <c r="G112" s="4">
        <v>9301</v>
      </c>
      <c r="H112" s="7">
        <f t="shared" si="3"/>
        <v>101</v>
      </c>
      <c r="I112" s="9">
        <f t="shared" si="4"/>
        <v>1.0978260869565217E-2</v>
      </c>
      <c r="J112" t="str">
        <f t="shared" si="5"/>
        <v>Unfavourable</v>
      </c>
    </row>
    <row r="113" spans="1:10" x14ac:dyDescent="0.5">
      <c r="A113" t="s">
        <v>9</v>
      </c>
      <c r="B113" t="str">
        <f>CHOOSE(MATCH(A113,{"Jan","Feb","Mar","Apr","May","Jun","Jul","Aug","Sep","Oct","Nov","Dec"},0), "Q1","Q1","Q1", "Q2","Q2","Q2", "Q3","Q3","Q3", "Q4","Q4","Q4")</f>
        <v>Q2</v>
      </c>
      <c r="C113" t="s">
        <v>23</v>
      </c>
      <c r="D113" t="s">
        <v>28</v>
      </c>
      <c r="E113" t="s">
        <v>24</v>
      </c>
      <c r="F113" s="4">
        <v>9500</v>
      </c>
      <c r="G113" s="4">
        <v>8925</v>
      </c>
      <c r="H113" s="7">
        <f t="shared" si="3"/>
        <v>-575</v>
      </c>
      <c r="I113" s="9">
        <f t="shared" si="4"/>
        <v>-6.0526315789473685E-2</v>
      </c>
      <c r="J113" t="str">
        <f t="shared" si="5"/>
        <v>Favourable</v>
      </c>
    </row>
    <row r="114" spans="1:10" x14ac:dyDescent="0.5">
      <c r="A114" t="s">
        <v>10</v>
      </c>
      <c r="B114" t="str">
        <f>CHOOSE(MATCH(A114,{"Jan","Feb","Mar","Apr","May","Jun","Jul","Aug","Sep","Oct","Nov","Dec"},0), "Q1","Q1","Q1", "Q2","Q2","Q2", "Q3","Q3","Q3", "Q4","Q4","Q4")</f>
        <v>Q2</v>
      </c>
      <c r="C114" t="s">
        <v>23</v>
      </c>
      <c r="D114" t="s">
        <v>28</v>
      </c>
      <c r="E114" t="s">
        <v>24</v>
      </c>
      <c r="F114" s="4">
        <v>10000</v>
      </c>
      <c r="G114" s="4">
        <v>10443</v>
      </c>
      <c r="H114" s="7">
        <f t="shared" si="3"/>
        <v>443</v>
      </c>
      <c r="I114" s="9">
        <f t="shared" si="4"/>
        <v>4.4299999999999999E-2</v>
      </c>
      <c r="J114" t="str">
        <f t="shared" si="5"/>
        <v>Unfavourable</v>
      </c>
    </row>
    <row r="115" spans="1:10" x14ac:dyDescent="0.5">
      <c r="A115" t="s">
        <v>11</v>
      </c>
      <c r="B115" t="str">
        <f>CHOOSE(MATCH(A115,{"Jan","Feb","Mar","Apr","May","Jun","Jul","Aug","Sep","Oct","Nov","Dec"},0), "Q1","Q1","Q1", "Q2","Q2","Q2", "Q3","Q3","Q3", "Q4","Q4","Q4")</f>
        <v>Q2</v>
      </c>
      <c r="C115" t="s">
        <v>23</v>
      </c>
      <c r="D115" t="s">
        <v>28</v>
      </c>
      <c r="E115" t="s">
        <v>24</v>
      </c>
      <c r="F115" s="4">
        <v>10200</v>
      </c>
      <c r="G115" s="4">
        <v>10202</v>
      </c>
      <c r="H115" s="7">
        <f t="shared" si="3"/>
        <v>2</v>
      </c>
      <c r="I115" s="9">
        <f t="shared" si="4"/>
        <v>1.9607843137254901E-4</v>
      </c>
      <c r="J115" t="str">
        <f t="shared" si="5"/>
        <v>Unfavourable</v>
      </c>
    </row>
    <row r="116" spans="1:10" x14ac:dyDescent="0.5">
      <c r="A116" t="s">
        <v>12</v>
      </c>
      <c r="B116" t="str">
        <f>CHOOSE(MATCH(A116,{"Jan","Feb","Mar","Apr","May","Jun","Jul","Aug","Sep","Oct","Nov","Dec"},0), "Q1","Q1","Q1", "Q2","Q2","Q2", "Q3","Q3","Q3", "Q4","Q4","Q4")</f>
        <v>Q3</v>
      </c>
      <c r="C116" t="s">
        <v>23</v>
      </c>
      <c r="D116" t="s">
        <v>28</v>
      </c>
      <c r="E116" t="s">
        <v>24</v>
      </c>
      <c r="F116" s="4">
        <v>8800</v>
      </c>
      <c r="G116" s="4">
        <v>10157</v>
      </c>
      <c r="H116" s="7">
        <f t="shared" si="3"/>
        <v>1357</v>
      </c>
      <c r="I116" s="9">
        <f t="shared" si="4"/>
        <v>0.15420454545454546</v>
      </c>
      <c r="J116" t="str">
        <f t="shared" si="5"/>
        <v>Unfavourable</v>
      </c>
    </row>
    <row r="117" spans="1:10" x14ac:dyDescent="0.5">
      <c r="A117" t="s">
        <v>13</v>
      </c>
      <c r="B117" t="str">
        <f>CHOOSE(MATCH(A117,{"Jan","Feb","Mar","Apr","May","Jun","Jul","Aug","Sep","Oct","Nov","Dec"},0), "Q1","Q1","Q1", "Q2","Q2","Q2", "Q3","Q3","Q3", "Q4","Q4","Q4")</f>
        <v>Q3</v>
      </c>
      <c r="C117" t="s">
        <v>23</v>
      </c>
      <c r="D117" t="s">
        <v>28</v>
      </c>
      <c r="E117" t="s">
        <v>24</v>
      </c>
      <c r="F117" s="4">
        <v>8500</v>
      </c>
      <c r="G117" s="4">
        <v>8959</v>
      </c>
      <c r="H117" s="7">
        <f t="shared" si="3"/>
        <v>459</v>
      </c>
      <c r="I117" s="9">
        <f t="shared" si="4"/>
        <v>5.3999999999999999E-2</v>
      </c>
      <c r="J117" t="str">
        <f t="shared" si="5"/>
        <v>Unfavourable</v>
      </c>
    </row>
    <row r="118" spans="1:10" x14ac:dyDescent="0.5">
      <c r="A118" t="s">
        <v>14</v>
      </c>
      <c r="B118" t="str">
        <f>CHOOSE(MATCH(A118,{"Jan","Feb","Mar","Apr","May","Jun","Jul","Aug","Sep","Oct","Nov","Dec"},0), "Q1","Q1","Q1", "Q2","Q2","Q2", "Q3","Q3","Q3", "Q4","Q4","Q4")</f>
        <v>Q3</v>
      </c>
      <c r="C118" t="s">
        <v>23</v>
      </c>
      <c r="D118" t="s">
        <v>28</v>
      </c>
      <c r="E118" t="s">
        <v>24</v>
      </c>
      <c r="F118" s="4">
        <v>10000</v>
      </c>
      <c r="G118" s="4">
        <v>11083</v>
      </c>
      <c r="H118" s="7">
        <f t="shared" si="3"/>
        <v>1083</v>
      </c>
      <c r="I118" s="9">
        <f t="shared" si="4"/>
        <v>0.10829999999999999</v>
      </c>
      <c r="J118" t="str">
        <f t="shared" si="5"/>
        <v>Unfavourable</v>
      </c>
    </row>
    <row r="119" spans="1:10" x14ac:dyDescent="0.5">
      <c r="A119" t="s">
        <v>15</v>
      </c>
      <c r="B119" t="str">
        <f>CHOOSE(MATCH(A119,{"Jan","Feb","Mar","Apr","May","Jun","Jul","Aug","Sep","Oct","Nov","Dec"},0), "Q1","Q1","Q1", "Q2","Q2","Q2", "Q3","Q3","Q3", "Q4","Q4","Q4")</f>
        <v>Q4</v>
      </c>
      <c r="C119" t="s">
        <v>23</v>
      </c>
      <c r="D119" t="s">
        <v>28</v>
      </c>
      <c r="E119" t="s">
        <v>24</v>
      </c>
      <c r="F119" s="4">
        <v>10500</v>
      </c>
      <c r="G119" s="4">
        <v>10236</v>
      </c>
      <c r="H119" s="7">
        <f t="shared" si="3"/>
        <v>-264</v>
      </c>
      <c r="I119" s="9">
        <f t="shared" si="4"/>
        <v>-2.5142857142857144E-2</v>
      </c>
      <c r="J119" t="str">
        <f t="shared" si="5"/>
        <v>Favourable</v>
      </c>
    </row>
    <row r="120" spans="1:10" x14ac:dyDescent="0.5">
      <c r="A120" t="s">
        <v>16</v>
      </c>
      <c r="B120" t="str">
        <f>CHOOSE(MATCH(A120,{"Jan","Feb","Mar","Apr","May","Jun","Jul","Aug","Sep","Oct","Nov","Dec"},0), "Q1","Q1","Q1", "Q2","Q2","Q2", "Q3","Q3","Q3", "Q4","Q4","Q4")</f>
        <v>Q4</v>
      </c>
      <c r="C120" t="s">
        <v>23</v>
      </c>
      <c r="D120" t="s">
        <v>28</v>
      </c>
      <c r="E120" t="s">
        <v>24</v>
      </c>
      <c r="F120" s="4">
        <v>10800</v>
      </c>
      <c r="G120" s="4">
        <v>11166</v>
      </c>
      <c r="H120" s="7">
        <f t="shared" si="3"/>
        <v>366</v>
      </c>
      <c r="I120" s="9">
        <f t="shared" si="4"/>
        <v>3.3888888888888892E-2</v>
      </c>
      <c r="J120" t="str">
        <f t="shared" si="5"/>
        <v>Unfavourable</v>
      </c>
    </row>
    <row r="121" spans="1:10" x14ac:dyDescent="0.5">
      <c r="A121" t="s">
        <v>17</v>
      </c>
      <c r="B121" t="str">
        <f>CHOOSE(MATCH(A121,{"Jan","Feb","Mar","Apr","May","Jun","Jul","Aug","Sep","Oct","Nov","Dec"},0), "Q1","Q1","Q1", "Q2","Q2","Q2", "Q3","Q3","Q3", "Q4","Q4","Q4")</f>
        <v>Q4</v>
      </c>
      <c r="C121" t="s">
        <v>23</v>
      </c>
      <c r="D121" t="s">
        <v>28</v>
      </c>
      <c r="E121" t="s">
        <v>24</v>
      </c>
      <c r="F121" s="4">
        <v>15800</v>
      </c>
      <c r="G121" s="4">
        <v>16687</v>
      </c>
      <c r="H121" s="7">
        <f t="shared" si="3"/>
        <v>887</v>
      </c>
      <c r="I121" s="9">
        <f t="shared" si="4"/>
        <v>5.6139240506329111E-2</v>
      </c>
      <c r="J121" t="str">
        <f t="shared" si="5"/>
        <v>Unfavourable</v>
      </c>
    </row>
    <row r="122" spans="1:10" x14ac:dyDescent="0.5">
      <c r="A122" t="s">
        <v>4</v>
      </c>
      <c r="B122" t="str">
        <f>CHOOSE(MATCH(A122,{"Jan","Feb","Mar","Apr","May","Jun","Jul","Aug","Sep","Oct","Nov","Dec"},0), "Q1","Q1","Q1", "Q2","Q2","Q2", "Q3","Q3","Q3", "Q4","Q4","Q4")</f>
        <v>Q1</v>
      </c>
      <c r="C122" t="s">
        <v>23</v>
      </c>
      <c r="D122" t="s">
        <v>29</v>
      </c>
      <c r="E122" t="s">
        <v>24</v>
      </c>
      <c r="F122" s="4">
        <v>3188</v>
      </c>
      <c r="G122" s="4">
        <v>3466</v>
      </c>
      <c r="H122" s="7">
        <f t="shared" si="3"/>
        <v>278</v>
      </c>
      <c r="I122" s="9">
        <f t="shared" si="4"/>
        <v>8.720200752823086E-2</v>
      </c>
      <c r="J122" t="str">
        <f t="shared" si="5"/>
        <v>Unfavourable</v>
      </c>
    </row>
    <row r="123" spans="1:10" x14ac:dyDescent="0.5">
      <c r="A123" t="s">
        <v>7</v>
      </c>
      <c r="B123" t="str">
        <f>CHOOSE(MATCH(A123,{"Jan","Feb","Mar","Apr","May","Jun","Jul","Aug","Sep","Oct","Nov","Dec"},0), "Q1","Q1","Q1", "Q2","Q2","Q2", "Q3","Q3","Q3", "Q4","Q4","Q4")</f>
        <v>Q1</v>
      </c>
      <c r="C123" t="s">
        <v>23</v>
      </c>
      <c r="D123" t="s">
        <v>29</v>
      </c>
      <c r="E123" t="s">
        <v>24</v>
      </c>
      <c r="F123" s="4">
        <v>3075</v>
      </c>
      <c r="G123" s="4">
        <v>2817</v>
      </c>
      <c r="H123" s="7">
        <f t="shared" si="3"/>
        <v>-258</v>
      </c>
      <c r="I123" s="9">
        <f t="shared" si="4"/>
        <v>-8.3902439024390249E-2</v>
      </c>
      <c r="J123" t="str">
        <f t="shared" si="5"/>
        <v>Favourable</v>
      </c>
    </row>
    <row r="124" spans="1:10" x14ac:dyDescent="0.5">
      <c r="A124" t="s">
        <v>8</v>
      </c>
      <c r="B124" t="str">
        <f>CHOOSE(MATCH(A124,{"Jan","Feb","Mar","Apr","May","Jun","Jul","Aug","Sep","Oct","Nov","Dec"},0), "Q1","Q1","Q1", "Q2","Q2","Q2", "Q3","Q3","Q3", "Q4","Q4","Q4")</f>
        <v>Q1</v>
      </c>
      <c r="C124" t="s">
        <v>23</v>
      </c>
      <c r="D124" t="s">
        <v>29</v>
      </c>
      <c r="E124" t="s">
        <v>24</v>
      </c>
      <c r="F124" s="4">
        <v>3450</v>
      </c>
      <c r="G124" s="4">
        <v>3621</v>
      </c>
      <c r="H124" s="7">
        <f t="shared" si="3"/>
        <v>171</v>
      </c>
      <c r="I124" s="9">
        <f t="shared" si="4"/>
        <v>4.9565217391304345E-2</v>
      </c>
      <c r="J124" t="str">
        <f t="shared" si="5"/>
        <v>Unfavourable</v>
      </c>
    </row>
    <row r="125" spans="1:10" x14ac:dyDescent="0.5">
      <c r="A125" t="s">
        <v>9</v>
      </c>
      <c r="B125" t="str">
        <f>CHOOSE(MATCH(A125,{"Jan","Feb","Mar","Apr","May","Jun","Jul","Aug","Sep","Oct","Nov","Dec"},0), "Q1","Q1","Q1", "Q2","Q2","Q2", "Q3","Q3","Q3", "Q4","Q4","Q4")</f>
        <v>Q2</v>
      </c>
      <c r="C125" t="s">
        <v>23</v>
      </c>
      <c r="D125" t="s">
        <v>29</v>
      </c>
      <c r="E125" t="s">
        <v>24</v>
      </c>
      <c r="F125" s="4">
        <v>3562</v>
      </c>
      <c r="G125" s="4">
        <v>3667</v>
      </c>
      <c r="H125" s="7">
        <f t="shared" si="3"/>
        <v>105</v>
      </c>
      <c r="I125" s="9">
        <f t="shared" si="4"/>
        <v>2.9477821448624368E-2</v>
      </c>
      <c r="J125" t="str">
        <f t="shared" si="5"/>
        <v>Unfavourable</v>
      </c>
    </row>
    <row r="126" spans="1:10" x14ac:dyDescent="0.5">
      <c r="A126" t="s">
        <v>10</v>
      </c>
      <c r="B126" t="str">
        <f>CHOOSE(MATCH(A126,{"Jan","Feb","Mar","Apr","May","Jun","Jul","Aug","Sep","Oct","Nov","Dec"},0), "Q1","Q1","Q1", "Q2","Q2","Q2", "Q3","Q3","Q3", "Q4","Q4","Q4")</f>
        <v>Q2</v>
      </c>
      <c r="C126" t="s">
        <v>23</v>
      </c>
      <c r="D126" t="s">
        <v>29</v>
      </c>
      <c r="E126" t="s">
        <v>24</v>
      </c>
      <c r="F126" s="4">
        <v>3750</v>
      </c>
      <c r="G126" s="4">
        <v>4038</v>
      </c>
      <c r="H126" s="7">
        <f t="shared" si="3"/>
        <v>288</v>
      </c>
      <c r="I126" s="9">
        <f t="shared" si="4"/>
        <v>7.6799999999999993E-2</v>
      </c>
      <c r="J126" t="str">
        <f t="shared" si="5"/>
        <v>Unfavourable</v>
      </c>
    </row>
    <row r="127" spans="1:10" x14ac:dyDescent="0.5">
      <c r="A127" t="s">
        <v>11</v>
      </c>
      <c r="B127" t="str">
        <f>CHOOSE(MATCH(A127,{"Jan","Feb","Mar","Apr","May","Jun","Jul","Aug","Sep","Oct","Nov","Dec"},0), "Q1","Q1","Q1", "Q2","Q2","Q2", "Q3","Q3","Q3", "Q4","Q4","Q4")</f>
        <v>Q2</v>
      </c>
      <c r="C127" t="s">
        <v>23</v>
      </c>
      <c r="D127" t="s">
        <v>29</v>
      </c>
      <c r="E127" t="s">
        <v>24</v>
      </c>
      <c r="F127" s="4">
        <v>3825</v>
      </c>
      <c r="G127" s="4">
        <v>3961</v>
      </c>
      <c r="H127" s="7">
        <f t="shared" si="3"/>
        <v>136</v>
      </c>
      <c r="I127" s="9">
        <f t="shared" si="4"/>
        <v>3.5555555555555556E-2</v>
      </c>
      <c r="J127" t="str">
        <f t="shared" si="5"/>
        <v>Unfavourable</v>
      </c>
    </row>
    <row r="128" spans="1:10" x14ac:dyDescent="0.5">
      <c r="A128" t="s">
        <v>12</v>
      </c>
      <c r="B128" t="str">
        <f>CHOOSE(MATCH(A128,{"Jan","Feb","Mar","Apr","May","Jun","Jul","Aug","Sep","Oct","Nov","Dec"},0), "Q1","Q1","Q1", "Q2","Q2","Q2", "Q3","Q3","Q3", "Q4","Q4","Q4")</f>
        <v>Q3</v>
      </c>
      <c r="C128" t="s">
        <v>23</v>
      </c>
      <c r="D128" t="s">
        <v>29</v>
      </c>
      <c r="E128" t="s">
        <v>24</v>
      </c>
      <c r="F128" s="4">
        <v>3300</v>
      </c>
      <c r="G128" s="4">
        <v>3441</v>
      </c>
      <c r="H128" s="7">
        <f t="shared" si="3"/>
        <v>141</v>
      </c>
      <c r="I128" s="9">
        <f t="shared" si="4"/>
        <v>4.2727272727272725E-2</v>
      </c>
      <c r="J128" t="str">
        <f t="shared" si="5"/>
        <v>Unfavourable</v>
      </c>
    </row>
    <row r="129" spans="1:10" x14ac:dyDescent="0.5">
      <c r="A129" t="s">
        <v>13</v>
      </c>
      <c r="B129" t="str">
        <f>CHOOSE(MATCH(A129,{"Jan","Feb","Mar","Apr","May","Jun","Jul","Aug","Sep","Oct","Nov","Dec"},0), "Q1","Q1","Q1", "Q2","Q2","Q2", "Q3","Q3","Q3", "Q4","Q4","Q4")</f>
        <v>Q3</v>
      </c>
      <c r="C129" t="s">
        <v>23</v>
      </c>
      <c r="D129" t="s">
        <v>29</v>
      </c>
      <c r="E129" t="s">
        <v>24</v>
      </c>
      <c r="F129" s="4">
        <v>3188</v>
      </c>
      <c r="G129" s="4">
        <v>3232</v>
      </c>
      <c r="H129" s="7">
        <f t="shared" si="3"/>
        <v>44</v>
      </c>
      <c r="I129" s="9">
        <f t="shared" si="4"/>
        <v>1.3801756587202008E-2</v>
      </c>
      <c r="J129" t="str">
        <f t="shared" si="5"/>
        <v>Unfavourable</v>
      </c>
    </row>
    <row r="130" spans="1:10" x14ac:dyDescent="0.5">
      <c r="A130" t="s">
        <v>14</v>
      </c>
      <c r="B130" t="str">
        <f>CHOOSE(MATCH(A130,{"Jan","Feb","Mar","Apr","May","Jun","Jul","Aug","Sep","Oct","Nov","Dec"},0), "Q1","Q1","Q1", "Q2","Q2","Q2", "Q3","Q3","Q3", "Q4","Q4","Q4")</f>
        <v>Q3</v>
      </c>
      <c r="C130" t="s">
        <v>23</v>
      </c>
      <c r="D130" t="s">
        <v>29</v>
      </c>
      <c r="E130" t="s">
        <v>24</v>
      </c>
      <c r="F130" s="4">
        <v>3750</v>
      </c>
      <c r="G130" s="4">
        <v>3666</v>
      </c>
      <c r="H130" s="7">
        <f t="shared" si="3"/>
        <v>-84</v>
      </c>
      <c r="I130" s="9">
        <f t="shared" si="4"/>
        <v>-2.24E-2</v>
      </c>
      <c r="J130" t="str">
        <f t="shared" si="5"/>
        <v>Favourable</v>
      </c>
    </row>
    <row r="131" spans="1:10" x14ac:dyDescent="0.5">
      <c r="A131" t="s">
        <v>15</v>
      </c>
      <c r="B131" t="str">
        <f>CHOOSE(MATCH(A131,{"Jan","Feb","Mar","Apr","May","Jun","Jul","Aug","Sep","Oct","Nov","Dec"},0), "Q1","Q1","Q1", "Q2","Q2","Q2", "Q3","Q3","Q3", "Q4","Q4","Q4")</f>
        <v>Q4</v>
      </c>
      <c r="C131" t="s">
        <v>23</v>
      </c>
      <c r="D131" t="s">
        <v>29</v>
      </c>
      <c r="E131" t="s">
        <v>24</v>
      </c>
      <c r="F131" s="4">
        <v>3938</v>
      </c>
      <c r="G131" s="4">
        <v>4134</v>
      </c>
      <c r="H131" s="7">
        <f t="shared" ref="H131:H194" si="6">G131-F131</f>
        <v>196</v>
      </c>
      <c r="I131" s="9">
        <f t="shared" ref="I131:I194" si="7">SUM(G131-F131)/F131</f>
        <v>4.9771457592686641E-2</v>
      </c>
      <c r="J131" t="str">
        <f t="shared" ref="J131:J194" si="8">IF(C131="Revenue",IF(G131&gt;F131,"Favourable","Unfavourable"),IF(G131&lt;F131,"Favourable","Unfavourable"))</f>
        <v>Unfavourable</v>
      </c>
    </row>
    <row r="132" spans="1:10" x14ac:dyDescent="0.5">
      <c r="A132" t="s">
        <v>16</v>
      </c>
      <c r="B132" t="str">
        <f>CHOOSE(MATCH(A132,{"Jan","Feb","Mar","Apr","May","Jun","Jul","Aug","Sep","Oct","Nov","Dec"},0), "Q1","Q1","Q1", "Q2","Q2","Q2", "Q3","Q3","Q3", "Q4","Q4","Q4")</f>
        <v>Q4</v>
      </c>
      <c r="C132" t="s">
        <v>23</v>
      </c>
      <c r="D132" t="s">
        <v>29</v>
      </c>
      <c r="E132" t="s">
        <v>24</v>
      </c>
      <c r="F132" s="4">
        <v>4050</v>
      </c>
      <c r="G132" s="4">
        <v>4173</v>
      </c>
      <c r="H132" s="7">
        <f t="shared" si="6"/>
        <v>123</v>
      </c>
      <c r="I132" s="9">
        <f t="shared" si="7"/>
        <v>3.037037037037037E-2</v>
      </c>
      <c r="J132" t="str">
        <f t="shared" si="8"/>
        <v>Unfavourable</v>
      </c>
    </row>
    <row r="133" spans="1:10" x14ac:dyDescent="0.5">
      <c r="A133" t="s">
        <v>17</v>
      </c>
      <c r="B133" t="str">
        <f>CHOOSE(MATCH(A133,{"Jan","Feb","Mar","Apr","May","Jun","Jul","Aug","Sep","Oct","Nov","Dec"},0), "Q1","Q1","Q1", "Q2","Q2","Q2", "Q3","Q3","Q3", "Q4","Q4","Q4")</f>
        <v>Q4</v>
      </c>
      <c r="C133" t="s">
        <v>23</v>
      </c>
      <c r="D133" t="s">
        <v>29</v>
      </c>
      <c r="E133" t="s">
        <v>24</v>
      </c>
      <c r="F133" s="4">
        <v>5925</v>
      </c>
      <c r="G133" s="4">
        <v>6761</v>
      </c>
      <c r="H133" s="7">
        <f t="shared" si="6"/>
        <v>836</v>
      </c>
      <c r="I133" s="9">
        <f t="shared" si="7"/>
        <v>0.1410970464135021</v>
      </c>
      <c r="J133" t="str">
        <f t="shared" si="8"/>
        <v>Unfavourable</v>
      </c>
    </row>
    <row r="134" spans="1:10" x14ac:dyDescent="0.5">
      <c r="A134" t="s">
        <v>4</v>
      </c>
      <c r="B134" t="str">
        <f>CHOOSE(MATCH(A134,{"Jan","Feb","Mar","Apr","May","Jun","Jul","Aug","Sep","Oct","Nov","Dec"},0), "Q1","Q1","Q1", "Q2","Q2","Q2", "Q3","Q3","Q3", "Q4","Q4","Q4")</f>
        <v>Q1</v>
      </c>
      <c r="C134" t="s">
        <v>23</v>
      </c>
      <c r="D134" t="s">
        <v>30</v>
      </c>
      <c r="E134" t="s">
        <v>24</v>
      </c>
      <c r="F134" s="4">
        <v>2125</v>
      </c>
      <c r="G134" s="4">
        <v>2060</v>
      </c>
      <c r="H134" s="7">
        <f t="shared" si="6"/>
        <v>-65</v>
      </c>
      <c r="I134" s="9">
        <f t="shared" si="7"/>
        <v>-3.0588235294117649E-2</v>
      </c>
      <c r="J134" t="str">
        <f t="shared" si="8"/>
        <v>Favourable</v>
      </c>
    </row>
    <row r="135" spans="1:10" x14ac:dyDescent="0.5">
      <c r="A135" t="s">
        <v>7</v>
      </c>
      <c r="B135" t="str">
        <f>CHOOSE(MATCH(A135,{"Jan","Feb","Mar","Apr","May","Jun","Jul","Aug","Sep","Oct","Nov","Dec"},0), "Q1","Q1","Q1", "Q2","Q2","Q2", "Q3","Q3","Q3", "Q4","Q4","Q4")</f>
        <v>Q1</v>
      </c>
      <c r="C135" t="s">
        <v>23</v>
      </c>
      <c r="D135" t="s">
        <v>30</v>
      </c>
      <c r="E135" t="s">
        <v>24</v>
      </c>
      <c r="F135" s="4">
        <v>2050</v>
      </c>
      <c r="G135" s="4">
        <v>2083</v>
      </c>
      <c r="H135" s="7">
        <f t="shared" si="6"/>
        <v>33</v>
      </c>
      <c r="I135" s="9">
        <f t="shared" si="7"/>
        <v>1.6097560975609757E-2</v>
      </c>
      <c r="J135" t="str">
        <f t="shared" si="8"/>
        <v>Unfavourable</v>
      </c>
    </row>
    <row r="136" spans="1:10" x14ac:dyDescent="0.5">
      <c r="A136" t="s">
        <v>8</v>
      </c>
      <c r="B136" t="str">
        <f>CHOOSE(MATCH(A136,{"Jan","Feb","Mar","Apr","May","Jun","Jul","Aug","Sep","Oct","Nov","Dec"},0), "Q1","Q1","Q1", "Q2","Q2","Q2", "Q3","Q3","Q3", "Q4","Q4","Q4")</f>
        <v>Q1</v>
      </c>
      <c r="C136" t="s">
        <v>23</v>
      </c>
      <c r="D136" t="s">
        <v>30</v>
      </c>
      <c r="E136" t="s">
        <v>24</v>
      </c>
      <c r="F136" s="4">
        <v>2300</v>
      </c>
      <c r="G136" s="4">
        <v>2120</v>
      </c>
      <c r="H136" s="7">
        <f t="shared" si="6"/>
        <v>-180</v>
      </c>
      <c r="I136" s="9">
        <f t="shared" si="7"/>
        <v>-7.8260869565217397E-2</v>
      </c>
      <c r="J136" t="str">
        <f t="shared" si="8"/>
        <v>Favourable</v>
      </c>
    </row>
    <row r="137" spans="1:10" x14ac:dyDescent="0.5">
      <c r="A137" t="s">
        <v>9</v>
      </c>
      <c r="B137" t="str">
        <f>CHOOSE(MATCH(A137,{"Jan","Feb","Mar","Apr","May","Jun","Jul","Aug","Sep","Oct","Nov","Dec"},0), "Q1","Q1","Q1", "Q2","Q2","Q2", "Q3","Q3","Q3", "Q4","Q4","Q4")</f>
        <v>Q2</v>
      </c>
      <c r="C137" t="s">
        <v>23</v>
      </c>
      <c r="D137" t="s">
        <v>30</v>
      </c>
      <c r="E137" t="s">
        <v>24</v>
      </c>
      <c r="F137" s="4">
        <v>2375</v>
      </c>
      <c r="G137" s="4">
        <v>2328</v>
      </c>
      <c r="H137" s="7">
        <f t="shared" si="6"/>
        <v>-47</v>
      </c>
      <c r="I137" s="9">
        <f t="shared" si="7"/>
        <v>-1.9789473684210527E-2</v>
      </c>
      <c r="J137" t="str">
        <f t="shared" si="8"/>
        <v>Favourable</v>
      </c>
    </row>
    <row r="138" spans="1:10" x14ac:dyDescent="0.5">
      <c r="A138" t="s">
        <v>10</v>
      </c>
      <c r="B138" t="str">
        <f>CHOOSE(MATCH(A138,{"Jan","Feb","Mar","Apr","May","Jun","Jul","Aug","Sep","Oct","Nov","Dec"},0), "Q1","Q1","Q1", "Q2","Q2","Q2", "Q3","Q3","Q3", "Q4","Q4","Q4")</f>
        <v>Q2</v>
      </c>
      <c r="C138" t="s">
        <v>23</v>
      </c>
      <c r="D138" t="s">
        <v>30</v>
      </c>
      <c r="E138" t="s">
        <v>24</v>
      </c>
      <c r="F138" s="4">
        <v>2500</v>
      </c>
      <c r="G138" s="4">
        <v>2533</v>
      </c>
      <c r="H138" s="7">
        <f t="shared" si="6"/>
        <v>33</v>
      </c>
      <c r="I138" s="9">
        <f t="shared" si="7"/>
        <v>1.32E-2</v>
      </c>
      <c r="J138" t="str">
        <f t="shared" si="8"/>
        <v>Unfavourable</v>
      </c>
    </row>
    <row r="139" spans="1:10" x14ac:dyDescent="0.5">
      <c r="A139" t="s">
        <v>11</v>
      </c>
      <c r="B139" t="str">
        <f>CHOOSE(MATCH(A139,{"Jan","Feb","Mar","Apr","May","Jun","Jul","Aug","Sep","Oct","Nov","Dec"},0), "Q1","Q1","Q1", "Q2","Q2","Q2", "Q3","Q3","Q3", "Q4","Q4","Q4")</f>
        <v>Q2</v>
      </c>
      <c r="C139" t="s">
        <v>23</v>
      </c>
      <c r="D139" t="s">
        <v>30</v>
      </c>
      <c r="E139" t="s">
        <v>24</v>
      </c>
      <c r="F139" s="4">
        <v>2550</v>
      </c>
      <c r="G139" s="4">
        <v>2655</v>
      </c>
      <c r="H139" s="7">
        <f t="shared" si="6"/>
        <v>105</v>
      </c>
      <c r="I139" s="9">
        <f t="shared" si="7"/>
        <v>4.1176470588235294E-2</v>
      </c>
      <c r="J139" t="str">
        <f t="shared" si="8"/>
        <v>Unfavourable</v>
      </c>
    </row>
    <row r="140" spans="1:10" x14ac:dyDescent="0.5">
      <c r="A140" t="s">
        <v>12</v>
      </c>
      <c r="B140" t="str">
        <f>CHOOSE(MATCH(A140,{"Jan","Feb","Mar","Apr","May","Jun","Jul","Aug","Sep","Oct","Nov","Dec"},0), "Q1","Q1","Q1", "Q2","Q2","Q2", "Q3","Q3","Q3", "Q4","Q4","Q4")</f>
        <v>Q3</v>
      </c>
      <c r="C140" t="s">
        <v>23</v>
      </c>
      <c r="D140" t="s">
        <v>30</v>
      </c>
      <c r="E140" t="s">
        <v>24</v>
      </c>
      <c r="F140" s="4">
        <v>2200</v>
      </c>
      <c r="G140" s="4">
        <v>2447</v>
      </c>
      <c r="H140" s="7">
        <f t="shared" si="6"/>
        <v>247</v>
      </c>
      <c r="I140" s="9">
        <f t="shared" si="7"/>
        <v>0.11227272727272727</v>
      </c>
      <c r="J140" t="str">
        <f t="shared" si="8"/>
        <v>Unfavourable</v>
      </c>
    </row>
    <row r="141" spans="1:10" x14ac:dyDescent="0.5">
      <c r="A141" t="s">
        <v>13</v>
      </c>
      <c r="B141" t="str">
        <f>CHOOSE(MATCH(A141,{"Jan","Feb","Mar","Apr","May","Jun","Jul","Aug","Sep","Oct","Nov","Dec"},0), "Q1","Q1","Q1", "Q2","Q2","Q2", "Q3","Q3","Q3", "Q4","Q4","Q4")</f>
        <v>Q3</v>
      </c>
      <c r="C141" t="s">
        <v>23</v>
      </c>
      <c r="D141" t="s">
        <v>30</v>
      </c>
      <c r="E141" t="s">
        <v>24</v>
      </c>
      <c r="F141" s="4">
        <v>2125</v>
      </c>
      <c r="G141" s="4">
        <v>2205</v>
      </c>
      <c r="H141" s="7">
        <f t="shared" si="6"/>
        <v>80</v>
      </c>
      <c r="I141" s="9">
        <f t="shared" si="7"/>
        <v>3.7647058823529408E-2</v>
      </c>
      <c r="J141" t="str">
        <f t="shared" si="8"/>
        <v>Unfavourable</v>
      </c>
    </row>
    <row r="142" spans="1:10" x14ac:dyDescent="0.5">
      <c r="A142" t="s">
        <v>14</v>
      </c>
      <c r="B142" t="str">
        <f>CHOOSE(MATCH(A142,{"Jan","Feb","Mar","Apr","May","Jun","Jul","Aug","Sep","Oct","Nov","Dec"},0), "Q1","Q1","Q1", "Q2","Q2","Q2", "Q3","Q3","Q3", "Q4","Q4","Q4")</f>
        <v>Q3</v>
      </c>
      <c r="C142" t="s">
        <v>23</v>
      </c>
      <c r="D142" t="s">
        <v>30</v>
      </c>
      <c r="E142" t="s">
        <v>24</v>
      </c>
      <c r="F142" s="4">
        <v>2500</v>
      </c>
      <c r="G142" s="4">
        <v>2460</v>
      </c>
      <c r="H142" s="7">
        <f t="shared" si="6"/>
        <v>-40</v>
      </c>
      <c r="I142" s="9">
        <f t="shared" si="7"/>
        <v>-1.6E-2</v>
      </c>
      <c r="J142" t="str">
        <f t="shared" si="8"/>
        <v>Favourable</v>
      </c>
    </row>
    <row r="143" spans="1:10" x14ac:dyDescent="0.5">
      <c r="A143" t="s">
        <v>15</v>
      </c>
      <c r="B143" t="str">
        <f>CHOOSE(MATCH(A143,{"Jan","Feb","Mar","Apr","May","Jun","Jul","Aug","Sep","Oct","Nov","Dec"},0), "Q1","Q1","Q1", "Q2","Q2","Q2", "Q3","Q3","Q3", "Q4","Q4","Q4")</f>
        <v>Q4</v>
      </c>
      <c r="C143" t="s">
        <v>23</v>
      </c>
      <c r="D143" t="s">
        <v>30</v>
      </c>
      <c r="E143" t="s">
        <v>24</v>
      </c>
      <c r="F143" s="4">
        <v>2625</v>
      </c>
      <c r="G143" s="4">
        <v>2790</v>
      </c>
      <c r="H143" s="7">
        <f t="shared" si="6"/>
        <v>165</v>
      </c>
      <c r="I143" s="9">
        <f t="shared" si="7"/>
        <v>6.2857142857142861E-2</v>
      </c>
      <c r="J143" t="str">
        <f t="shared" si="8"/>
        <v>Unfavourable</v>
      </c>
    </row>
    <row r="144" spans="1:10" x14ac:dyDescent="0.5">
      <c r="A144" t="s">
        <v>16</v>
      </c>
      <c r="B144" t="str">
        <f>CHOOSE(MATCH(A144,{"Jan","Feb","Mar","Apr","May","Jun","Jul","Aug","Sep","Oct","Nov","Dec"},0), "Q1","Q1","Q1", "Q2","Q2","Q2", "Q3","Q3","Q3", "Q4","Q4","Q4")</f>
        <v>Q4</v>
      </c>
      <c r="C144" t="s">
        <v>23</v>
      </c>
      <c r="D144" t="s">
        <v>30</v>
      </c>
      <c r="E144" t="s">
        <v>24</v>
      </c>
      <c r="F144" s="4">
        <v>2700</v>
      </c>
      <c r="G144" s="4">
        <v>2878</v>
      </c>
      <c r="H144" s="7">
        <f t="shared" si="6"/>
        <v>178</v>
      </c>
      <c r="I144" s="9">
        <f t="shared" si="7"/>
        <v>6.5925925925925929E-2</v>
      </c>
      <c r="J144" t="str">
        <f t="shared" si="8"/>
        <v>Unfavourable</v>
      </c>
    </row>
    <row r="145" spans="1:10" x14ac:dyDescent="0.5">
      <c r="A145" t="s">
        <v>17</v>
      </c>
      <c r="B145" t="str">
        <f>CHOOSE(MATCH(A145,{"Jan","Feb","Mar","Apr","May","Jun","Jul","Aug","Sep","Oct","Nov","Dec"},0), "Q1","Q1","Q1", "Q2","Q2","Q2", "Q3","Q3","Q3", "Q4","Q4","Q4")</f>
        <v>Q4</v>
      </c>
      <c r="C145" t="s">
        <v>23</v>
      </c>
      <c r="D145" t="s">
        <v>30</v>
      </c>
      <c r="E145" t="s">
        <v>24</v>
      </c>
      <c r="F145" s="4">
        <v>3950</v>
      </c>
      <c r="G145" s="4">
        <v>4205</v>
      </c>
      <c r="H145" s="7">
        <f t="shared" si="6"/>
        <v>255</v>
      </c>
      <c r="I145" s="9">
        <f t="shared" si="7"/>
        <v>6.4556962025316453E-2</v>
      </c>
      <c r="J145" t="str">
        <f t="shared" si="8"/>
        <v>Unfavourable</v>
      </c>
    </row>
    <row r="146" spans="1:10" x14ac:dyDescent="0.5">
      <c r="A146" t="s">
        <v>4</v>
      </c>
      <c r="B146" t="str">
        <f>CHOOSE(MATCH(A146,{"Jan","Feb","Mar","Apr","May","Jun","Jul","Aug","Sep","Oct","Nov","Dec"},0), "Q1","Q1","Q1", "Q2","Q2","Q2", "Q3","Q3","Q3", "Q4","Q4","Q4")</f>
        <v>Q1</v>
      </c>
      <c r="C146" t="s">
        <v>23</v>
      </c>
      <c r="D146" t="s">
        <v>31</v>
      </c>
      <c r="E146" t="s">
        <v>24</v>
      </c>
      <c r="F146" s="4">
        <v>1062</v>
      </c>
      <c r="G146" s="4">
        <v>1025</v>
      </c>
      <c r="H146" s="7">
        <f t="shared" si="6"/>
        <v>-37</v>
      </c>
      <c r="I146" s="9">
        <f t="shared" si="7"/>
        <v>-3.4839924670433148E-2</v>
      </c>
      <c r="J146" t="str">
        <f t="shared" si="8"/>
        <v>Favourable</v>
      </c>
    </row>
    <row r="147" spans="1:10" x14ac:dyDescent="0.5">
      <c r="A147" t="s">
        <v>7</v>
      </c>
      <c r="B147" t="str">
        <f>CHOOSE(MATCH(A147,{"Jan","Feb","Mar","Apr","May","Jun","Jul","Aug","Sep","Oct","Nov","Dec"},0), "Q1","Q1","Q1", "Q2","Q2","Q2", "Q3","Q3","Q3", "Q4","Q4","Q4")</f>
        <v>Q1</v>
      </c>
      <c r="C147" t="s">
        <v>23</v>
      </c>
      <c r="D147" t="s">
        <v>31</v>
      </c>
      <c r="E147" t="s">
        <v>24</v>
      </c>
      <c r="F147" s="4">
        <v>1025</v>
      </c>
      <c r="G147" s="4">
        <v>1083</v>
      </c>
      <c r="H147" s="7">
        <f t="shared" si="6"/>
        <v>58</v>
      </c>
      <c r="I147" s="9">
        <f t="shared" si="7"/>
        <v>5.6585365853658538E-2</v>
      </c>
      <c r="J147" t="str">
        <f t="shared" si="8"/>
        <v>Unfavourable</v>
      </c>
    </row>
    <row r="148" spans="1:10" x14ac:dyDescent="0.5">
      <c r="A148" t="s">
        <v>8</v>
      </c>
      <c r="B148" t="str">
        <f>CHOOSE(MATCH(A148,{"Jan","Feb","Mar","Apr","May","Jun","Jul","Aug","Sep","Oct","Nov","Dec"},0), "Q1","Q1","Q1", "Q2","Q2","Q2", "Q3","Q3","Q3", "Q4","Q4","Q4")</f>
        <v>Q1</v>
      </c>
      <c r="C148" t="s">
        <v>23</v>
      </c>
      <c r="D148" t="s">
        <v>31</v>
      </c>
      <c r="E148" t="s">
        <v>24</v>
      </c>
      <c r="F148" s="4">
        <v>1150</v>
      </c>
      <c r="G148" s="4">
        <v>1155</v>
      </c>
      <c r="H148" s="7">
        <f t="shared" si="6"/>
        <v>5</v>
      </c>
      <c r="I148" s="9">
        <f t="shared" si="7"/>
        <v>4.3478260869565218E-3</v>
      </c>
      <c r="J148" t="str">
        <f t="shared" si="8"/>
        <v>Unfavourable</v>
      </c>
    </row>
    <row r="149" spans="1:10" x14ac:dyDescent="0.5">
      <c r="A149" t="s">
        <v>9</v>
      </c>
      <c r="B149" t="str">
        <f>CHOOSE(MATCH(A149,{"Jan","Feb","Mar","Apr","May","Jun","Jul","Aug","Sep","Oct","Nov","Dec"},0), "Q1","Q1","Q1", "Q2","Q2","Q2", "Q3","Q3","Q3", "Q4","Q4","Q4")</f>
        <v>Q2</v>
      </c>
      <c r="C149" t="s">
        <v>23</v>
      </c>
      <c r="D149" t="s">
        <v>31</v>
      </c>
      <c r="E149" t="s">
        <v>24</v>
      </c>
      <c r="F149" s="4">
        <v>1188</v>
      </c>
      <c r="G149" s="4">
        <v>1230</v>
      </c>
      <c r="H149" s="7">
        <f t="shared" si="6"/>
        <v>42</v>
      </c>
      <c r="I149" s="9">
        <f t="shared" si="7"/>
        <v>3.5353535353535352E-2</v>
      </c>
      <c r="J149" t="str">
        <f t="shared" si="8"/>
        <v>Unfavourable</v>
      </c>
    </row>
    <row r="150" spans="1:10" x14ac:dyDescent="0.5">
      <c r="A150" t="s">
        <v>10</v>
      </c>
      <c r="B150" t="str">
        <f>CHOOSE(MATCH(A150,{"Jan","Feb","Mar","Apr","May","Jun","Jul","Aug","Sep","Oct","Nov","Dec"},0), "Q1","Q1","Q1", "Q2","Q2","Q2", "Q3","Q3","Q3", "Q4","Q4","Q4")</f>
        <v>Q2</v>
      </c>
      <c r="C150" t="s">
        <v>23</v>
      </c>
      <c r="D150" t="s">
        <v>31</v>
      </c>
      <c r="E150" t="s">
        <v>24</v>
      </c>
      <c r="F150" s="4">
        <v>1250</v>
      </c>
      <c r="G150" s="4">
        <v>1330</v>
      </c>
      <c r="H150" s="7">
        <f t="shared" si="6"/>
        <v>80</v>
      </c>
      <c r="I150" s="9">
        <f t="shared" si="7"/>
        <v>6.4000000000000001E-2</v>
      </c>
      <c r="J150" t="str">
        <f t="shared" si="8"/>
        <v>Unfavourable</v>
      </c>
    </row>
    <row r="151" spans="1:10" x14ac:dyDescent="0.5">
      <c r="A151" t="s">
        <v>11</v>
      </c>
      <c r="B151" t="str">
        <f>CHOOSE(MATCH(A151,{"Jan","Feb","Mar","Apr","May","Jun","Jul","Aug","Sep","Oct","Nov","Dec"},0), "Q1","Q1","Q1", "Q2","Q2","Q2", "Q3","Q3","Q3", "Q4","Q4","Q4")</f>
        <v>Q2</v>
      </c>
      <c r="C151" t="s">
        <v>23</v>
      </c>
      <c r="D151" t="s">
        <v>31</v>
      </c>
      <c r="E151" t="s">
        <v>24</v>
      </c>
      <c r="F151" s="4">
        <v>1275</v>
      </c>
      <c r="G151" s="4">
        <v>1314</v>
      </c>
      <c r="H151" s="7">
        <f t="shared" si="6"/>
        <v>39</v>
      </c>
      <c r="I151" s="9">
        <f t="shared" si="7"/>
        <v>3.0588235294117649E-2</v>
      </c>
      <c r="J151" t="str">
        <f t="shared" si="8"/>
        <v>Unfavourable</v>
      </c>
    </row>
    <row r="152" spans="1:10" x14ac:dyDescent="0.5">
      <c r="A152" t="s">
        <v>12</v>
      </c>
      <c r="B152" t="str">
        <f>CHOOSE(MATCH(A152,{"Jan","Feb","Mar","Apr","May","Jun","Jul","Aug","Sep","Oct","Nov","Dec"},0), "Q1","Q1","Q1", "Q2","Q2","Q2", "Q3","Q3","Q3", "Q4","Q4","Q4")</f>
        <v>Q3</v>
      </c>
      <c r="C152" t="s">
        <v>23</v>
      </c>
      <c r="D152" t="s">
        <v>31</v>
      </c>
      <c r="E152" t="s">
        <v>24</v>
      </c>
      <c r="F152" s="4">
        <v>1100</v>
      </c>
      <c r="G152" s="4">
        <v>1160</v>
      </c>
      <c r="H152" s="7">
        <f t="shared" si="6"/>
        <v>60</v>
      </c>
      <c r="I152" s="9">
        <f t="shared" si="7"/>
        <v>5.4545454545454543E-2</v>
      </c>
      <c r="J152" t="str">
        <f t="shared" si="8"/>
        <v>Unfavourable</v>
      </c>
    </row>
    <row r="153" spans="1:10" x14ac:dyDescent="0.5">
      <c r="A153" t="s">
        <v>13</v>
      </c>
      <c r="B153" t="str">
        <f>CHOOSE(MATCH(A153,{"Jan","Feb","Mar","Apr","May","Jun","Jul","Aug","Sep","Oct","Nov","Dec"},0), "Q1","Q1","Q1", "Q2","Q2","Q2", "Q3","Q3","Q3", "Q4","Q4","Q4")</f>
        <v>Q3</v>
      </c>
      <c r="C153" t="s">
        <v>23</v>
      </c>
      <c r="D153" t="s">
        <v>31</v>
      </c>
      <c r="E153" t="s">
        <v>24</v>
      </c>
      <c r="F153" s="4">
        <v>1062</v>
      </c>
      <c r="G153" s="4">
        <v>1219</v>
      </c>
      <c r="H153" s="7">
        <f t="shared" si="6"/>
        <v>157</v>
      </c>
      <c r="I153" s="9">
        <f t="shared" si="7"/>
        <v>0.14783427495291901</v>
      </c>
      <c r="J153" t="str">
        <f t="shared" si="8"/>
        <v>Unfavourable</v>
      </c>
    </row>
    <row r="154" spans="1:10" x14ac:dyDescent="0.5">
      <c r="A154" t="s">
        <v>14</v>
      </c>
      <c r="B154" t="str">
        <f>CHOOSE(MATCH(A154,{"Jan","Feb","Mar","Apr","May","Jun","Jul","Aug","Sep","Oct","Nov","Dec"},0), "Q1","Q1","Q1", "Q2","Q2","Q2", "Q3","Q3","Q3", "Q4","Q4","Q4")</f>
        <v>Q3</v>
      </c>
      <c r="C154" t="s">
        <v>23</v>
      </c>
      <c r="D154" t="s">
        <v>31</v>
      </c>
      <c r="E154" t="s">
        <v>24</v>
      </c>
      <c r="F154" s="4">
        <v>1250</v>
      </c>
      <c r="G154" s="4">
        <v>1315</v>
      </c>
      <c r="H154" s="7">
        <f t="shared" si="6"/>
        <v>65</v>
      </c>
      <c r="I154" s="9">
        <f t="shared" si="7"/>
        <v>5.1999999999999998E-2</v>
      </c>
      <c r="J154" t="str">
        <f t="shared" si="8"/>
        <v>Unfavourable</v>
      </c>
    </row>
    <row r="155" spans="1:10" x14ac:dyDescent="0.5">
      <c r="A155" t="s">
        <v>15</v>
      </c>
      <c r="B155" t="str">
        <f>CHOOSE(MATCH(A155,{"Jan","Feb","Mar","Apr","May","Jun","Jul","Aug","Sep","Oct","Nov","Dec"},0), "Q1","Q1","Q1", "Q2","Q2","Q2", "Q3","Q3","Q3", "Q4","Q4","Q4")</f>
        <v>Q4</v>
      </c>
      <c r="C155" t="s">
        <v>23</v>
      </c>
      <c r="D155" t="s">
        <v>31</v>
      </c>
      <c r="E155" t="s">
        <v>24</v>
      </c>
      <c r="F155" s="4">
        <v>1312</v>
      </c>
      <c r="G155" s="4">
        <v>1345</v>
      </c>
      <c r="H155" s="7">
        <f t="shared" si="6"/>
        <v>33</v>
      </c>
      <c r="I155" s="9">
        <f t="shared" si="7"/>
        <v>2.5152439024390245E-2</v>
      </c>
      <c r="J155" t="str">
        <f t="shared" si="8"/>
        <v>Unfavourable</v>
      </c>
    </row>
    <row r="156" spans="1:10" x14ac:dyDescent="0.5">
      <c r="A156" t="s">
        <v>16</v>
      </c>
      <c r="B156" t="str">
        <f>CHOOSE(MATCH(A156,{"Jan","Feb","Mar","Apr","May","Jun","Jul","Aug","Sep","Oct","Nov","Dec"},0), "Q1","Q1","Q1", "Q2","Q2","Q2", "Q3","Q3","Q3", "Q4","Q4","Q4")</f>
        <v>Q4</v>
      </c>
      <c r="C156" t="s">
        <v>23</v>
      </c>
      <c r="D156" t="s">
        <v>31</v>
      </c>
      <c r="E156" t="s">
        <v>24</v>
      </c>
      <c r="F156" s="4">
        <v>1350</v>
      </c>
      <c r="G156" s="4">
        <v>1412</v>
      </c>
      <c r="H156" s="7">
        <f t="shared" si="6"/>
        <v>62</v>
      </c>
      <c r="I156" s="9">
        <f t="shared" si="7"/>
        <v>4.5925925925925926E-2</v>
      </c>
      <c r="J156" t="str">
        <f t="shared" si="8"/>
        <v>Unfavourable</v>
      </c>
    </row>
    <row r="157" spans="1:10" x14ac:dyDescent="0.5">
      <c r="A157" t="s">
        <v>17</v>
      </c>
      <c r="B157" t="str">
        <f>CHOOSE(MATCH(A157,{"Jan","Feb","Mar","Apr","May","Jun","Jul","Aug","Sep","Oct","Nov","Dec"},0), "Q1","Q1","Q1", "Q2","Q2","Q2", "Q3","Q3","Q3", "Q4","Q4","Q4")</f>
        <v>Q4</v>
      </c>
      <c r="C157" t="s">
        <v>23</v>
      </c>
      <c r="D157" t="s">
        <v>31</v>
      </c>
      <c r="E157" t="s">
        <v>24</v>
      </c>
      <c r="F157" s="4">
        <v>1975</v>
      </c>
      <c r="G157" s="4">
        <v>2200</v>
      </c>
      <c r="H157" s="7">
        <f t="shared" si="6"/>
        <v>225</v>
      </c>
      <c r="I157" s="9">
        <f t="shared" si="7"/>
        <v>0.11392405063291139</v>
      </c>
      <c r="J157" t="str">
        <f t="shared" si="8"/>
        <v>Unfavourable</v>
      </c>
    </row>
    <row r="158" spans="1:10" x14ac:dyDescent="0.5">
      <c r="A158" t="s">
        <v>4</v>
      </c>
      <c r="B158" t="str">
        <f>CHOOSE(MATCH(A158,{"Jan","Feb","Mar","Apr","May","Jun","Jul","Aug","Sep","Oct","Nov","Dec"},0), "Q1","Q1","Q1", "Q2","Q2","Q2", "Q3","Q3","Q3", "Q4","Q4","Q4")</f>
        <v>Q1</v>
      </c>
      <c r="C158" t="s">
        <v>23</v>
      </c>
      <c r="D158" t="s">
        <v>32</v>
      </c>
      <c r="E158" t="s">
        <v>24</v>
      </c>
      <c r="F158" s="4">
        <v>1417</v>
      </c>
      <c r="G158" s="4">
        <v>1505</v>
      </c>
      <c r="H158" s="7">
        <f t="shared" si="6"/>
        <v>88</v>
      </c>
      <c r="I158" s="9">
        <f t="shared" si="7"/>
        <v>6.2103034580098804E-2</v>
      </c>
      <c r="J158" t="str">
        <f t="shared" si="8"/>
        <v>Unfavourable</v>
      </c>
    </row>
    <row r="159" spans="1:10" x14ac:dyDescent="0.5">
      <c r="A159" t="s">
        <v>7</v>
      </c>
      <c r="B159" t="str">
        <f>CHOOSE(MATCH(A159,{"Jan","Feb","Mar","Apr","May","Jun","Jul","Aug","Sep","Oct","Nov","Dec"},0), "Q1","Q1","Q1", "Q2","Q2","Q2", "Q3","Q3","Q3", "Q4","Q4","Q4")</f>
        <v>Q1</v>
      </c>
      <c r="C159" t="s">
        <v>23</v>
      </c>
      <c r="D159" t="s">
        <v>32</v>
      </c>
      <c r="E159" t="s">
        <v>24</v>
      </c>
      <c r="F159" s="4">
        <v>1367</v>
      </c>
      <c r="G159" s="4">
        <v>1283</v>
      </c>
      <c r="H159" s="7">
        <f t="shared" si="6"/>
        <v>-84</v>
      </c>
      <c r="I159" s="9">
        <f t="shared" si="7"/>
        <v>-6.1448427212874905E-2</v>
      </c>
      <c r="J159" t="str">
        <f t="shared" si="8"/>
        <v>Favourable</v>
      </c>
    </row>
    <row r="160" spans="1:10" x14ac:dyDescent="0.5">
      <c r="A160" t="s">
        <v>8</v>
      </c>
      <c r="B160" t="str">
        <f>CHOOSE(MATCH(A160,{"Jan","Feb","Mar","Apr","May","Jun","Jul","Aug","Sep","Oct","Nov","Dec"},0), "Q1","Q1","Q1", "Q2","Q2","Q2", "Q3","Q3","Q3", "Q4","Q4","Q4")</f>
        <v>Q1</v>
      </c>
      <c r="C160" t="s">
        <v>23</v>
      </c>
      <c r="D160" t="s">
        <v>32</v>
      </c>
      <c r="E160" t="s">
        <v>24</v>
      </c>
      <c r="F160" s="4">
        <v>1533</v>
      </c>
      <c r="G160" s="4">
        <v>1588</v>
      </c>
      <c r="H160" s="7">
        <f t="shared" si="6"/>
        <v>55</v>
      </c>
      <c r="I160" s="9">
        <f t="shared" si="7"/>
        <v>3.587736464448793E-2</v>
      </c>
      <c r="J160" t="str">
        <f t="shared" si="8"/>
        <v>Unfavourable</v>
      </c>
    </row>
    <row r="161" spans="1:10" x14ac:dyDescent="0.5">
      <c r="A161" t="s">
        <v>9</v>
      </c>
      <c r="B161" t="str">
        <f>CHOOSE(MATCH(A161,{"Jan","Feb","Mar","Apr","May","Jun","Jul","Aug","Sep","Oct","Nov","Dec"},0), "Q1","Q1","Q1", "Q2","Q2","Q2", "Q3","Q3","Q3", "Q4","Q4","Q4")</f>
        <v>Q2</v>
      </c>
      <c r="C161" t="s">
        <v>23</v>
      </c>
      <c r="D161" t="s">
        <v>32</v>
      </c>
      <c r="E161" t="s">
        <v>24</v>
      </c>
      <c r="F161" s="4">
        <v>1583</v>
      </c>
      <c r="G161" s="4">
        <v>1468</v>
      </c>
      <c r="H161" s="7">
        <f t="shared" si="6"/>
        <v>-115</v>
      </c>
      <c r="I161" s="9">
        <f t="shared" si="7"/>
        <v>-7.2646873025900185E-2</v>
      </c>
      <c r="J161" t="str">
        <f t="shared" si="8"/>
        <v>Favourable</v>
      </c>
    </row>
    <row r="162" spans="1:10" x14ac:dyDescent="0.5">
      <c r="A162" t="s">
        <v>10</v>
      </c>
      <c r="B162" t="str">
        <f>CHOOSE(MATCH(A162,{"Jan","Feb","Mar","Apr","May","Jun","Jul","Aug","Sep","Oct","Nov","Dec"},0), "Q1","Q1","Q1", "Q2","Q2","Q2", "Q3","Q3","Q3", "Q4","Q4","Q4")</f>
        <v>Q2</v>
      </c>
      <c r="C162" t="s">
        <v>23</v>
      </c>
      <c r="D162" t="s">
        <v>32</v>
      </c>
      <c r="E162" t="s">
        <v>24</v>
      </c>
      <c r="F162" s="4">
        <v>1667</v>
      </c>
      <c r="G162" s="4">
        <v>1789</v>
      </c>
      <c r="H162" s="7">
        <f t="shared" si="6"/>
        <v>122</v>
      </c>
      <c r="I162" s="9">
        <f t="shared" si="7"/>
        <v>7.3185362927414524E-2</v>
      </c>
      <c r="J162" t="str">
        <f t="shared" si="8"/>
        <v>Unfavourable</v>
      </c>
    </row>
    <row r="163" spans="1:10" x14ac:dyDescent="0.5">
      <c r="A163" t="s">
        <v>11</v>
      </c>
      <c r="B163" t="str">
        <f>CHOOSE(MATCH(A163,{"Jan","Feb","Mar","Apr","May","Jun","Jul","Aug","Sep","Oct","Nov","Dec"},0), "Q1","Q1","Q1", "Q2","Q2","Q2", "Q3","Q3","Q3", "Q4","Q4","Q4")</f>
        <v>Q2</v>
      </c>
      <c r="C163" t="s">
        <v>23</v>
      </c>
      <c r="D163" t="s">
        <v>32</v>
      </c>
      <c r="E163" t="s">
        <v>24</v>
      </c>
      <c r="F163" s="4">
        <v>1700</v>
      </c>
      <c r="G163" s="4">
        <v>1806</v>
      </c>
      <c r="H163" s="7">
        <f t="shared" si="6"/>
        <v>106</v>
      </c>
      <c r="I163" s="9">
        <f t="shared" si="7"/>
        <v>6.235294117647059E-2</v>
      </c>
      <c r="J163" t="str">
        <f t="shared" si="8"/>
        <v>Unfavourable</v>
      </c>
    </row>
    <row r="164" spans="1:10" x14ac:dyDescent="0.5">
      <c r="A164" t="s">
        <v>12</v>
      </c>
      <c r="B164" t="str">
        <f>CHOOSE(MATCH(A164,{"Jan","Feb","Mar","Apr","May","Jun","Jul","Aug","Sep","Oct","Nov","Dec"},0), "Q1","Q1","Q1", "Q2","Q2","Q2", "Q3","Q3","Q3", "Q4","Q4","Q4")</f>
        <v>Q3</v>
      </c>
      <c r="C164" t="s">
        <v>23</v>
      </c>
      <c r="D164" t="s">
        <v>32</v>
      </c>
      <c r="E164" t="s">
        <v>24</v>
      </c>
      <c r="F164" s="4">
        <v>1467</v>
      </c>
      <c r="G164" s="4">
        <v>1206</v>
      </c>
      <c r="H164" s="7">
        <f t="shared" si="6"/>
        <v>-261</v>
      </c>
      <c r="I164" s="9">
        <f t="shared" si="7"/>
        <v>-0.17791411042944785</v>
      </c>
      <c r="J164" t="str">
        <f t="shared" si="8"/>
        <v>Favourable</v>
      </c>
    </row>
    <row r="165" spans="1:10" x14ac:dyDescent="0.5">
      <c r="A165" t="s">
        <v>13</v>
      </c>
      <c r="B165" t="str">
        <f>CHOOSE(MATCH(A165,{"Jan","Feb","Mar","Apr","May","Jun","Jul","Aug","Sep","Oct","Nov","Dec"},0), "Q1","Q1","Q1", "Q2","Q2","Q2", "Q3","Q3","Q3", "Q4","Q4","Q4")</f>
        <v>Q3</v>
      </c>
      <c r="C165" t="s">
        <v>23</v>
      </c>
      <c r="D165" t="s">
        <v>32</v>
      </c>
      <c r="E165" t="s">
        <v>24</v>
      </c>
      <c r="F165" s="4">
        <v>1417</v>
      </c>
      <c r="G165" s="4">
        <v>1409</v>
      </c>
      <c r="H165" s="7">
        <f t="shared" si="6"/>
        <v>-8</v>
      </c>
      <c r="I165" s="9">
        <f t="shared" si="7"/>
        <v>-5.6457304163726185E-3</v>
      </c>
      <c r="J165" t="str">
        <f t="shared" si="8"/>
        <v>Favourable</v>
      </c>
    </row>
    <row r="166" spans="1:10" x14ac:dyDescent="0.5">
      <c r="A166" t="s">
        <v>14</v>
      </c>
      <c r="B166" t="str">
        <f>CHOOSE(MATCH(A166,{"Jan","Feb","Mar","Apr","May","Jun","Jul","Aug","Sep","Oct","Nov","Dec"},0), "Q1","Q1","Q1", "Q2","Q2","Q2", "Q3","Q3","Q3", "Q4","Q4","Q4")</f>
        <v>Q3</v>
      </c>
      <c r="C166" t="s">
        <v>23</v>
      </c>
      <c r="D166" t="s">
        <v>32</v>
      </c>
      <c r="E166" t="s">
        <v>24</v>
      </c>
      <c r="F166" s="4">
        <v>1667</v>
      </c>
      <c r="G166" s="4">
        <v>1772</v>
      </c>
      <c r="H166" s="7">
        <f t="shared" si="6"/>
        <v>105</v>
      </c>
      <c r="I166" s="9">
        <f t="shared" si="7"/>
        <v>6.2987402519496097E-2</v>
      </c>
      <c r="J166" t="str">
        <f t="shared" si="8"/>
        <v>Unfavourable</v>
      </c>
    </row>
    <row r="167" spans="1:10" x14ac:dyDescent="0.5">
      <c r="A167" t="s">
        <v>15</v>
      </c>
      <c r="B167" t="str">
        <f>CHOOSE(MATCH(A167,{"Jan","Feb","Mar","Apr","May","Jun","Jul","Aug","Sep","Oct","Nov","Dec"},0), "Q1","Q1","Q1", "Q2","Q2","Q2", "Q3","Q3","Q3", "Q4","Q4","Q4")</f>
        <v>Q4</v>
      </c>
      <c r="C167" t="s">
        <v>23</v>
      </c>
      <c r="D167" t="s">
        <v>32</v>
      </c>
      <c r="E167" t="s">
        <v>24</v>
      </c>
      <c r="F167" s="4">
        <v>1750</v>
      </c>
      <c r="G167" s="4">
        <v>1629</v>
      </c>
      <c r="H167" s="7">
        <f t="shared" si="6"/>
        <v>-121</v>
      </c>
      <c r="I167" s="9">
        <f t="shared" si="7"/>
        <v>-6.9142857142857145E-2</v>
      </c>
      <c r="J167" t="str">
        <f t="shared" si="8"/>
        <v>Favourable</v>
      </c>
    </row>
    <row r="168" spans="1:10" x14ac:dyDescent="0.5">
      <c r="A168" t="s">
        <v>16</v>
      </c>
      <c r="B168" t="str">
        <f>CHOOSE(MATCH(A168,{"Jan","Feb","Mar","Apr","May","Jun","Jul","Aug","Sep","Oct","Nov","Dec"},0), "Q1","Q1","Q1", "Q2","Q2","Q2", "Q3","Q3","Q3", "Q4","Q4","Q4")</f>
        <v>Q4</v>
      </c>
      <c r="C168" t="s">
        <v>23</v>
      </c>
      <c r="D168" t="s">
        <v>32</v>
      </c>
      <c r="E168" t="s">
        <v>24</v>
      </c>
      <c r="F168" s="4">
        <v>1800</v>
      </c>
      <c r="G168" s="4">
        <v>2019</v>
      </c>
      <c r="H168" s="7">
        <f t="shared" si="6"/>
        <v>219</v>
      </c>
      <c r="I168" s="9">
        <f t="shared" si="7"/>
        <v>0.12166666666666667</v>
      </c>
      <c r="J168" t="str">
        <f t="shared" si="8"/>
        <v>Unfavourable</v>
      </c>
    </row>
    <row r="169" spans="1:10" x14ac:dyDescent="0.5">
      <c r="A169" t="s">
        <v>17</v>
      </c>
      <c r="B169" t="str">
        <f>CHOOSE(MATCH(A169,{"Jan","Feb","Mar","Apr","May","Jun","Jul","Aug","Sep","Oct","Nov","Dec"},0), "Q1","Q1","Q1", "Q2","Q2","Q2", "Q3","Q3","Q3", "Q4","Q4","Q4")</f>
        <v>Q4</v>
      </c>
      <c r="C169" t="s">
        <v>23</v>
      </c>
      <c r="D169" t="s">
        <v>32</v>
      </c>
      <c r="E169" t="s">
        <v>24</v>
      </c>
      <c r="F169" s="4">
        <v>2633</v>
      </c>
      <c r="G169" s="4">
        <v>2753</v>
      </c>
      <c r="H169" s="7">
        <f t="shared" si="6"/>
        <v>120</v>
      </c>
      <c r="I169" s="9">
        <f t="shared" si="7"/>
        <v>4.5575389289783517E-2</v>
      </c>
      <c r="J169" t="str">
        <f t="shared" si="8"/>
        <v>Unfavourable</v>
      </c>
    </row>
    <row r="170" spans="1:10" x14ac:dyDescent="0.5">
      <c r="A170" t="s">
        <v>4</v>
      </c>
      <c r="B170" t="str">
        <f>CHOOSE(MATCH(A170,{"Jan","Feb","Mar","Apr","May","Jun","Jul","Aug","Sep","Oct","Nov","Dec"},0), "Q1","Q1","Q1", "Q2","Q2","Q2", "Q3","Q3","Q3", "Q4","Q4","Q4")</f>
        <v>Q1</v>
      </c>
      <c r="C170" t="s">
        <v>23</v>
      </c>
      <c r="D170" t="s">
        <v>25</v>
      </c>
      <c r="E170" t="s">
        <v>33</v>
      </c>
      <c r="F170" s="4">
        <v>155833</v>
      </c>
      <c r="G170" s="4">
        <v>159364</v>
      </c>
      <c r="H170" s="7">
        <f t="shared" si="6"/>
        <v>3531</v>
      </c>
      <c r="I170" s="9">
        <f t="shared" si="7"/>
        <v>2.2658871997587159E-2</v>
      </c>
      <c r="J170" t="str">
        <f t="shared" si="8"/>
        <v>Unfavourable</v>
      </c>
    </row>
    <row r="171" spans="1:10" x14ac:dyDescent="0.5">
      <c r="A171" t="s">
        <v>7</v>
      </c>
      <c r="B171" t="str">
        <f>CHOOSE(MATCH(A171,{"Jan","Feb","Mar","Apr","May","Jun","Jul","Aug","Sep","Oct","Nov","Dec"},0), "Q1","Q1","Q1", "Q2","Q2","Q2", "Q3","Q3","Q3", "Q4","Q4","Q4")</f>
        <v>Q1</v>
      </c>
      <c r="C171" t="s">
        <v>23</v>
      </c>
      <c r="D171" t="s">
        <v>25</v>
      </c>
      <c r="E171" t="s">
        <v>33</v>
      </c>
      <c r="F171" s="4">
        <v>150333</v>
      </c>
      <c r="G171" s="4">
        <v>151378</v>
      </c>
      <c r="H171" s="7">
        <f t="shared" si="6"/>
        <v>1045</v>
      </c>
      <c r="I171" s="9">
        <f t="shared" si="7"/>
        <v>6.9512349251328719E-3</v>
      </c>
      <c r="J171" t="str">
        <f t="shared" si="8"/>
        <v>Unfavourable</v>
      </c>
    </row>
    <row r="172" spans="1:10" x14ac:dyDescent="0.5">
      <c r="A172" t="s">
        <v>8</v>
      </c>
      <c r="B172" t="str">
        <f>CHOOSE(MATCH(A172,{"Jan","Feb","Mar","Apr","May","Jun","Jul","Aug","Sep","Oct","Nov","Dec"},0), "Q1","Q1","Q1", "Q2","Q2","Q2", "Q3","Q3","Q3", "Q4","Q4","Q4")</f>
        <v>Q1</v>
      </c>
      <c r="C172" t="s">
        <v>23</v>
      </c>
      <c r="D172" t="s">
        <v>25</v>
      </c>
      <c r="E172" t="s">
        <v>33</v>
      </c>
      <c r="F172" s="4">
        <v>168667</v>
      </c>
      <c r="G172" s="4">
        <v>168498</v>
      </c>
      <c r="H172" s="7">
        <f t="shared" si="6"/>
        <v>-169</v>
      </c>
      <c r="I172" s="9">
        <f t="shared" si="7"/>
        <v>-1.001974304398608E-3</v>
      </c>
      <c r="J172" t="str">
        <f t="shared" si="8"/>
        <v>Favourable</v>
      </c>
    </row>
    <row r="173" spans="1:10" x14ac:dyDescent="0.5">
      <c r="A173" t="s">
        <v>9</v>
      </c>
      <c r="B173" t="str">
        <f>CHOOSE(MATCH(A173,{"Jan","Feb","Mar","Apr","May","Jun","Jul","Aug","Sep","Oct","Nov","Dec"},0), "Q1","Q1","Q1", "Q2","Q2","Q2", "Q3","Q3","Q3", "Q4","Q4","Q4")</f>
        <v>Q2</v>
      </c>
      <c r="C173" t="s">
        <v>23</v>
      </c>
      <c r="D173" t="s">
        <v>25</v>
      </c>
      <c r="E173" t="s">
        <v>33</v>
      </c>
      <c r="F173" s="4">
        <v>174167</v>
      </c>
      <c r="G173" s="4">
        <v>174152</v>
      </c>
      <c r="H173" s="7">
        <f t="shared" si="6"/>
        <v>-15</v>
      </c>
      <c r="I173" s="9">
        <f t="shared" si="7"/>
        <v>-8.6124237082799848E-5</v>
      </c>
      <c r="J173" t="str">
        <f t="shared" si="8"/>
        <v>Favourable</v>
      </c>
    </row>
    <row r="174" spans="1:10" x14ac:dyDescent="0.5">
      <c r="A174" t="s">
        <v>10</v>
      </c>
      <c r="B174" t="str">
        <f>CHOOSE(MATCH(A174,{"Jan","Feb","Mar","Apr","May","Jun","Jul","Aug","Sep","Oct","Nov","Dec"},0), "Q1","Q1","Q1", "Q2","Q2","Q2", "Q3","Q3","Q3", "Q4","Q4","Q4")</f>
        <v>Q2</v>
      </c>
      <c r="C174" t="s">
        <v>23</v>
      </c>
      <c r="D174" t="s">
        <v>25</v>
      </c>
      <c r="E174" t="s">
        <v>33</v>
      </c>
      <c r="F174" s="4">
        <v>183333</v>
      </c>
      <c r="G174" s="4">
        <v>182522</v>
      </c>
      <c r="H174" s="7">
        <f t="shared" si="6"/>
        <v>-811</v>
      </c>
      <c r="I174" s="9">
        <f t="shared" si="7"/>
        <v>-4.4236444066261937E-3</v>
      </c>
      <c r="J174" t="str">
        <f t="shared" si="8"/>
        <v>Favourable</v>
      </c>
    </row>
    <row r="175" spans="1:10" x14ac:dyDescent="0.5">
      <c r="A175" t="s">
        <v>11</v>
      </c>
      <c r="B175" t="str">
        <f>CHOOSE(MATCH(A175,{"Jan","Feb","Mar","Apr","May","Jun","Jul","Aug","Sep","Oct","Nov","Dec"},0), "Q1","Q1","Q1", "Q2","Q2","Q2", "Q3","Q3","Q3", "Q4","Q4","Q4")</f>
        <v>Q2</v>
      </c>
      <c r="C175" t="s">
        <v>23</v>
      </c>
      <c r="D175" t="s">
        <v>25</v>
      </c>
      <c r="E175" t="s">
        <v>33</v>
      </c>
      <c r="F175" s="4">
        <v>187000</v>
      </c>
      <c r="G175" s="4">
        <v>186082</v>
      </c>
      <c r="H175" s="7">
        <f t="shared" si="6"/>
        <v>-918</v>
      </c>
      <c r="I175" s="9">
        <f t="shared" si="7"/>
        <v>-4.909090909090909E-3</v>
      </c>
      <c r="J175" t="str">
        <f t="shared" si="8"/>
        <v>Favourable</v>
      </c>
    </row>
    <row r="176" spans="1:10" x14ac:dyDescent="0.5">
      <c r="A176" t="s">
        <v>12</v>
      </c>
      <c r="B176" t="str">
        <f>CHOOSE(MATCH(A176,{"Jan","Feb","Mar","Apr","May","Jun","Jul","Aug","Sep","Oct","Nov","Dec"},0), "Q1","Q1","Q1", "Q2","Q2","Q2", "Q3","Q3","Q3", "Q4","Q4","Q4")</f>
        <v>Q3</v>
      </c>
      <c r="C176" t="s">
        <v>23</v>
      </c>
      <c r="D176" t="s">
        <v>25</v>
      </c>
      <c r="E176" t="s">
        <v>33</v>
      </c>
      <c r="F176" s="4">
        <v>161333</v>
      </c>
      <c r="G176" s="4">
        <v>161434</v>
      </c>
      <c r="H176" s="7">
        <f t="shared" si="6"/>
        <v>101</v>
      </c>
      <c r="I176" s="9">
        <f t="shared" si="7"/>
        <v>6.2603435131064315E-4</v>
      </c>
      <c r="J176" t="str">
        <f t="shared" si="8"/>
        <v>Unfavourable</v>
      </c>
    </row>
    <row r="177" spans="1:10" x14ac:dyDescent="0.5">
      <c r="A177" t="s">
        <v>13</v>
      </c>
      <c r="B177" t="str">
        <f>CHOOSE(MATCH(A177,{"Jan","Feb","Mar","Apr","May","Jun","Jul","Aug","Sep","Oct","Nov","Dec"},0), "Q1","Q1","Q1", "Q2","Q2","Q2", "Q3","Q3","Q3", "Q4","Q4","Q4")</f>
        <v>Q3</v>
      </c>
      <c r="C177" t="s">
        <v>23</v>
      </c>
      <c r="D177" t="s">
        <v>25</v>
      </c>
      <c r="E177" t="s">
        <v>33</v>
      </c>
      <c r="F177" s="4">
        <v>155833</v>
      </c>
      <c r="G177" s="4">
        <v>156149</v>
      </c>
      <c r="H177" s="7">
        <f t="shared" si="6"/>
        <v>316</v>
      </c>
      <c r="I177" s="9">
        <f t="shared" si="7"/>
        <v>2.0278118241964156E-3</v>
      </c>
      <c r="J177" t="str">
        <f t="shared" si="8"/>
        <v>Unfavourable</v>
      </c>
    </row>
    <row r="178" spans="1:10" x14ac:dyDescent="0.5">
      <c r="A178" t="s">
        <v>14</v>
      </c>
      <c r="B178" t="str">
        <f>CHOOSE(MATCH(A178,{"Jan","Feb","Mar","Apr","May","Jun","Jul","Aug","Sep","Oct","Nov","Dec"},0), "Q1","Q1","Q1", "Q2","Q2","Q2", "Q3","Q3","Q3", "Q4","Q4","Q4")</f>
        <v>Q3</v>
      </c>
      <c r="C178" t="s">
        <v>23</v>
      </c>
      <c r="D178" t="s">
        <v>25</v>
      </c>
      <c r="E178" t="s">
        <v>33</v>
      </c>
      <c r="F178" s="4">
        <v>183333</v>
      </c>
      <c r="G178" s="4">
        <v>187004</v>
      </c>
      <c r="H178" s="7">
        <f t="shared" si="6"/>
        <v>3671</v>
      </c>
      <c r="I178" s="9">
        <f t="shared" si="7"/>
        <v>2.0023672770314128E-2</v>
      </c>
      <c r="J178" t="str">
        <f t="shared" si="8"/>
        <v>Unfavourable</v>
      </c>
    </row>
    <row r="179" spans="1:10" x14ac:dyDescent="0.5">
      <c r="A179" t="s">
        <v>15</v>
      </c>
      <c r="B179" t="str">
        <f>CHOOSE(MATCH(A179,{"Jan","Feb","Mar","Apr","May","Jun","Jul","Aug","Sep","Oct","Nov","Dec"},0), "Q1","Q1","Q1", "Q2","Q2","Q2", "Q3","Q3","Q3", "Q4","Q4","Q4")</f>
        <v>Q4</v>
      </c>
      <c r="C179" t="s">
        <v>23</v>
      </c>
      <c r="D179" t="s">
        <v>25</v>
      </c>
      <c r="E179" t="s">
        <v>33</v>
      </c>
      <c r="F179" s="4">
        <v>192500</v>
      </c>
      <c r="G179" s="4">
        <v>195855</v>
      </c>
      <c r="H179" s="7">
        <f t="shared" si="6"/>
        <v>3355</v>
      </c>
      <c r="I179" s="9">
        <f t="shared" si="7"/>
        <v>1.7428571428571429E-2</v>
      </c>
      <c r="J179" t="str">
        <f t="shared" si="8"/>
        <v>Unfavourable</v>
      </c>
    </row>
    <row r="180" spans="1:10" x14ac:dyDescent="0.5">
      <c r="A180" t="s">
        <v>16</v>
      </c>
      <c r="B180" t="str">
        <f>CHOOSE(MATCH(A180,{"Jan","Feb","Mar","Apr","May","Jun","Jul","Aug","Sep","Oct","Nov","Dec"},0), "Q1","Q1","Q1", "Q2","Q2","Q2", "Q3","Q3","Q3", "Q4","Q4","Q4")</f>
        <v>Q4</v>
      </c>
      <c r="C180" t="s">
        <v>23</v>
      </c>
      <c r="D180" t="s">
        <v>25</v>
      </c>
      <c r="E180" t="s">
        <v>33</v>
      </c>
      <c r="F180" s="4">
        <v>198000</v>
      </c>
      <c r="G180" s="4">
        <v>198579</v>
      </c>
      <c r="H180" s="7">
        <f t="shared" si="6"/>
        <v>579</v>
      </c>
      <c r="I180" s="9">
        <f t="shared" si="7"/>
        <v>2.9242424242424243E-3</v>
      </c>
      <c r="J180" t="str">
        <f t="shared" si="8"/>
        <v>Unfavourable</v>
      </c>
    </row>
    <row r="181" spans="1:10" x14ac:dyDescent="0.5">
      <c r="A181" t="s">
        <v>17</v>
      </c>
      <c r="B181" t="str">
        <f>CHOOSE(MATCH(A181,{"Jan","Feb","Mar","Apr","May","Jun","Jul","Aug","Sep","Oct","Nov","Dec"},0), "Q1","Q1","Q1", "Q2","Q2","Q2", "Q3","Q3","Q3", "Q4","Q4","Q4")</f>
        <v>Q4</v>
      </c>
      <c r="C181" t="s">
        <v>23</v>
      </c>
      <c r="D181" t="s">
        <v>25</v>
      </c>
      <c r="E181" t="s">
        <v>33</v>
      </c>
      <c r="F181" s="4">
        <v>289667</v>
      </c>
      <c r="G181" s="4">
        <v>287148</v>
      </c>
      <c r="H181" s="7">
        <f t="shared" si="6"/>
        <v>-2519</v>
      </c>
      <c r="I181" s="9">
        <f t="shared" si="7"/>
        <v>-8.6961925245195339E-3</v>
      </c>
      <c r="J181" t="str">
        <f t="shared" si="8"/>
        <v>Favourable</v>
      </c>
    </row>
    <row r="182" spans="1:10" x14ac:dyDescent="0.5">
      <c r="A182" t="s">
        <v>4</v>
      </c>
      <c r="B182" t="str">
        <f>CHOOSE(MATCH(A182,{"Jan","Feb","Mar","Apr","May","Jun","Jul","Aug","Sep","Oct","Nov","Dec"},0), "Q1","Q1","Q1", "Q2","Q2","Q2", "Q3","Q3","Q3", "Q4","Q4","Q4")</f>
        <v>Q1</v>
      </c>
      <c r="C182" t="s">
        <v>23</v>
      </c>
      <c r="D182" t="s">
        <v>34</v>
      </c>
      <c r="E182" t="s">
        <v>33</v>
      </c>
      <c r="F182" s="4">
        <v>34000</v>
      </c>
      <c r="G182" s="4">
        <v>31458</v>
      </c>
      <c r="H182" s="7">
        <f t="shared" si="6"/>
        <v>-2542</v>
      </c>
      <c r="I182" s="9">
        <f t="shared" si="7"/>
        <v>-7.4764705882352941E-2</v>
      </c>
      <c r="J182" t="str">
        <f t="shared" si="8"/>
        <v>Favourable</v>
      </c>
    </row>
    <row r="183" spans="1:10" x14ac:dyDescent="0.5">
      <c r="A183" t="s">
        <v>7</v>
      </c>
      <c r="B183" t="str">
        <f>CHOOSE(MATCH(A183,{"Jan","Feb","Mar","Apr","May","Jun","Jul","Aug","Sep","Oct","Nov","Dec"},0), "Q1","Q1","Q1", "Q2","Q2","Q2", "Q3","Q3","Q3", "Q4","Q4","Q4")</f>
        <v>Q1</v>
      </c>
      <c r="C183" t="s">
        <v>23</v>
      </c>
      <c r="D183" t="s">
        <v>34</v>
      </c>
      <c r="E183" t="s">
        <v>33</v>
      </c>
      <c r="F183" s="4">
        <v>32800</v>
      </c>
      <c r="G183" s="4">
        <v>31904</v>
      </c>
      <c r="H183" s="7">
        <f t="shared" si="6"/>
        <v>-896</v>
      </c>
      <c r="I183" s="9">
        <f t="shared" si="7"/>
        <v>-2.7317073170731707E-2</v>
      </c>
      <c r="J183" t="str">
        <f t="shared" si="8"/>
        <v>Favourable</v>
      </c>
    </row>
    <row r="184" spans="1:10" x14ac:dyDescent="0.5">
      <c r="A184" t="s">
        <v>8</v>
      </c>
      <c r="B184" t="str">
        <f>CHOOSE(MATCH(A184,{"Jan","Feb","Mar","Apr","May","Jun","Jul","Aug","Sep","Oct","Nov","Dec"},0), "Q1","Q1","Q1", "Q2","Q2","Q2", "Q3","Q3","Q3", "Q4","Q4","Q4")</f>
        <v>Q1</v>
      </c>
      <c r="C184" t="s">
        <v>23</v>
      </c>
      <c r="D184" t="s">
        <v>34</v>
      </c>
      <c r="E184" t="s">
        <v>33</v>
      </c>
      <c r="F184" s="4">
        <v>36800</v>
      </c>
      <c r="G184" s="4">
        <v>37669</v>
      </c>
      <c r="H184" s="7">
        <f t="shared" si="6"/>
        <v>869</v>
      </c>
      <c r="I184" s="9">
        <f t="shared" si="7"/>
        <v>2.361413043478261E-2</v>
      </c>
      <c r="J184" t="str">
        <f t="shared" si="8"/>
        <v>Unfavourable</v>
      </c>
    </row>
    <row r="185" spans="1:10" x14ac:dyDescent="0.5">
      <c r="A185" t="s">
        <v>9</v>
      </c>
      <c r="B185" t="str">
        <f>CHOOSE(MATCH(A185,{"Jan","Feb","Mar","Apr","May","Jun","Jul","Aug","Sep","Oct","Nov","Dec"},0), "Q1","Q1","Q1", "Q2","Q2","Q2", "Q3","Q3","Q3", "Q4","Q4","Q4")</f>
        <v>Q2</v>
      </c>
      <c r="C185" t="s">
        <v>23</v>
      </c>
      <c r="D185" t="s">
        <v>34</v>
      </c>
      <c r="E185" t="s">
        <v>33</v>
      </c>
      <c r="F185" s="4">
        <v>38000</v>
      </c>
      <c r="G185" s="4">
        <v>39317</v>
      </c>
      <c r="H185" s="7">
        <f t="shared" si="6"/>
        <v>1317</v>
      </c>
      <c r="I185" s="9">
        <f t="shared" si="7"/>
        <v>3.4657894736842103E-2</v>
      </c>
      <c r="J185" t="str">
        <f t="shared" si="8"/>
        <v>Unfavourable</v>
      </c>
    </row>
    <row r="186" spans="1:10" x14ac:dyDescent="0.5">
      <c r="A186" t="s">
        <v>10</v>
      </c>
      <c r="B186" t="str">
        <f>CHOOSE(MATCH(A186,{"Jan","Feb","Mar","Apr","May","Jun","Jul","Aug","Sep","Oct","Nov","Dec"},0), "Q1","Q1","Q1", "Q2","Q2","Q2", "Q3","Q3","Q3", "Q4","Q4","Q4")</f>
        <v>Q2</v>
      </c>
      <c r="C186" t="s">
        <v>23</v>
      </c>
      <c r="D186" t="s">
        <v>34</v>
      </c>
      <c r="E186" t="s">
        <v>33</v>
      </c>
      <c r="F186" s="4">
        <v>40000</v>
      </c>
      <c r="G186" s="4">
        <v>42581</v>
      </c>
      <c r="H186" s="7">
        <f t="shared" si="6"/>
        <v>2581</v>
      </c>
      <c r="I186" s="9">
        <f t="shared" si="7"/>
        <v>6.4524999999999999E-2</v>
      </c>
      <c r="J186" t="str">
        <f t="shared" si="8"/>
        <v>Unfavourable</v>
      </c>
    </row>
    <row r="187" spans="1:10" x14ac:dyDescent="0.5">
      <c r="A187" t="s">
        <v>11</v>
      </c>
      <c r="B187" t="str">
        <f>CHOOSE(MATCH(A187,{"Jan","Feb","Mar","Apr","May","Jun","Jul","Aug","Sep","Oct","Nov","Dec"},0), "Q1","Q1","Q1", "Q2","Q2","Q2", "Q3","Q3","Q3", "Q4","Q4","Q4")</f>
        <v>Q2</v>
      </c>
      <c r="C187" t="s">
        <v>23</v>
      </c>
      <c r="D187" t="s">
        <v>34</v>
      </c>
      <c r="E187" t="s">
        <v>33</v>
      </c>
      <c r="F187" s="4">
        <v>40800</v>
      </c>
      <c r="G187" s="4">
        <v>40276</v>
      </c>
      <c r="H187" s="7">
        <f t="shared" si="6"/>
        <v>-524</v>
      </c>
      <c r="I187" s="9">
        <f t="shared" si="7"/>
        <v>-1.2843137254901962E-2</v>
      </c>
      <c r="J187" t="str">
        <f t="shared" si="8"/>
        <v>Favourable</v>
      </c>
    </row>
    <row r="188" spans="1:10" x14ac:dyDescent="0.5">
      <c r="A188" t="s">
        <v>12</v>
      </c>
      <c r="B188" t="str">
        <f>CHOOSE(MATCH(A188,{"Jan","Feb","Mar","Apr","May","Jun","Jul","Aug","Sep","Oct","Nov","Dec"},0), "Q1","Q1","Q1", "Q2","Q2","Q2", "Q3","Q3","Q3", "Q4","Q4","Q4")</f>
        <v>Q3</v>
      </c>
      <c r="C188" t="s">
        <v>23</v>
      </c>
      <c r="D188" t="s">
        <v>34</v>
      </c>
      <c r="E188" t="s">
        <v>33</v>
      </c>
      <c r="F188" s="4">
        <v>35200</v>
      </c>
      <c r="G188" s="4">
        <v>32380</v>
      </c>
      <c r="H188" s="7">
        <f t="shared" si="6"/>
        <v>-2820</v>
      </c>
      <c r="I188" s="9">
        <f t="shared" si="7"/>
        <v>-8.0113636363636359E-2</v>
      </c>
      <c r="J188" t="str">
        <f t="shared" si="8"/>
        <v>Favourable</v>
      </c>
    </row>
    <row r="189" spans="1:10" x14ac:dyDescent="0.5">
      <c r="A189" t="s">
        <v>13</v>
      </c>
      <c r="B189" t="str">
        <f>CHOOSE(MATCH(A189,{"Jan","Feb","Mar","Apr","May","Jun","Jul","Aug","Sep","Oct","Nov","Dec"},0), "Q1","Q1","Q1", "Q2","Q2","Q2", "Q3","Q3","Q3", "Q4","Q4","Q4")</f>
        <v>Q3</v>
      </c>
      <c r="C189" t="s">
        <v>23</v>
      </c>
      <c r="D189" t="s">
        <v>34</v>
      </c>
      <c r="E189" t="s">
        <v>33</v>
      </c>
      <c r="F189" s="4">
        <v>34000</v>
      </c>
      <c r="G189" s="4">
        <v>33260</v>
      </c>
      <c r="H189" s="7">
        <f t="shared" si="6"/>
        <v>-740</v>
      </c>
      <c r="I189" s="9">
        <f t="shared" si="7"/>
        <v>-2.1764705882352939E-2</v>
      </c>
      <c r="J189" t="str">
        <f t="shared" si="8"/>
        <v>Favourable</v>
      </c>
    </row>
    <row r="190" spans="1:10" x14ac:dyDescent="0.5">
      <c r="A190" t="s">
        <v>14</v>
      </c>
      <c r="B190" t="str">
        <f>CHOOSE(MATCH(A190,{"Jan","Feb","Mar","Apr","May","Jun","Jul","Aug","Sep","Oct","Nov","Dec"},0), "Q1","Q1","Q1", "Q2","Q2","Q2", "Q3","Q3","Q3", "Q4","Q4","Q4")</f>
        <v>Q3</v>
      </c>
      <c r="C190" t="s">
        <v>23</v>
      </c>
      <c r="D190" t="s">
        <v>34</v>
      </c>
      <c r="E190" t="s">
        <v>33</v>
      </c>
      <c r="F190" s="4">
        <v>40000</v>
      </c>
      <c r="G190" s="4">
        <v>42480</v>
      </c>
      <c r="H190" s="7">
        <f t="shared" si="6"/>
        <v>2480</v>
      </c>
      <c r="I190" s="9">
        <f t="shared" si="7"/>
        <v>6.2E-2</v>
      </c>
      <c r="J190" t="str">
        <f t="shared" si="8"/>
        <v>Unfavourable</v>
      </c>
    </row>
    <row r="191" spans="1:10" x14ac:dyDescent="0.5">
      <c r="A191" t="s">
        <v>15</v>
      </c>
      <c r="B191" t="str">
        <f>CHOOSE(MATCH(A191,{"Jan","Feb","Mar","Apr","May","Jun","Jul","Aug","Sep","Oct","Nov","Dec"},0), "Q1","Q1","Q1", "Q2","Q2","Q2", "Q3","Q3","Q3", "Q4","Q4","Q4")</f>
        <v>Q4</v>
      </c>
      <c r="C191" t="s">
        <v>23</v>
      </c>
      <c r="D191" t="s">
        <v>34</v>
      </c>
      <c r="E191" t="s">
        <v>33</v>
      </c>
      <c r="F191" s="4">
        <v>42000</v>
      </c>
      <c r="G191" s="4">
        <v>42978</v>
      </c>
      <c r="H191" s="7">
        <f t="shared" si="6"/>
        <v>978</v>
      </c>
      <c r="I191" s="9">
        <f t="shared" si="7"/>
        <v>2.3285714285714285E-2</v>
      </c>
      <c r="J191" t="str">
        <f t="shared" si="8"/>
        <v>Unfavourable</v>
      </c>
    </row>
    <row r="192" spans="1:10" x14ac:dyDescent="0.5">
      <c r="A192" t="s">
        <v>16</v>
      </c>
      <c r="B192" t="str">
        <f>CHOOSE(MATCH(A192,{"Jan","Feb","Mar","Apr","May","Jun","Jul","Aug","Sep","Oct","Nov","Dec"},0), "Q1","Q1","Q1", "Q2","Q2","Q2", "Q3","Q3","Q3", "Q4","Q4","Q4")</f>
        <v>Q4</v>
      </c>
      <c r="C192" t="s">
        <v>23</v>
      </c>
      <c r="D192" t="s">
        <v>34</v>
      </c>
      <c r="E192" t="s">
        <v>33</v>
      </c>
      <c r="F192" s="4">
        <v>43200</v>
      </c>
      <c r="G192" s="4">
        <v>38973</v>
      </c>
      <c r="H192" s="7">
        <f t="shared" si="6"/>
        <v>-4227</v>
      </c>
      <c r="I192" s="9">
        <f t="shared" si="7"/>
        <v>-9.7847222222222224E-2</v>
      </c>
      <c r="J192" t="str">
        <f t="shared" si="8"/>
        <v>Favourable</v>
      </c>
    </row>
    <row r="193" spans="1:10" x14ac:dyDescent="0.5">
      <c r="A193" t="s">
        <v>17</v>
      </c>
      <c r="B193" t="str">
        <f>CHOOSE(MATCH(A193,{"Jan","Feb","Mar","Apr","May","Jun","Jul","Aug","Sep","Oct","Nov","Dec"},0), "Q1","Q1","Q1", "Q2","Q2","Q2", "Q3","Q3","Q3", "Q4","Q4","Q4")</f>
        <v>Q4</v>
      </c>
      <c r="C193" t="s">
        <v>23</v>
      </c>
      <c r="D193" t="s">
        <v>34</v>
      </c>
      <c r="E193" t="s">
        <v>33</v>
      </c>
      <c r="F193" s="4">
        <v>63200</v>
      </c>
      <c r="G193" s="4">
        <v>63089</v>
      </c>
      <c r="H193" s="7">
        <f t="shared" si="6"/>
        <v>-111</v>
      </c>
      <c r="I193" s="9">
        <f t="shared" si="7"/>
        <v>-1.7563291139240506E-3</v>
      </c>
      <c r="J193" t="str">
        <f t="shared" si="8"/>
        <v>Favourable</v>
      </c>
    </row>
    <row r="194" spans="1:10" x14ac:dyDescent="0.5">
      <c r="A194" t="s">
        <v>4</v>
      </c>
      <c r="B194" t="str">
        <f>CHOOSE(MATCH(A194,{"Jan","Feb","Mar","Apr","May","Jun","Jul","Aug","Sep","Oct","Nov","Dec"},0), "Q1","Q1","Q1", "Q2","Q2","Q2", "Q3","Q3","Q3", "Q4","Q4","Q4")</f>
        <v>Q1</v>
      </c>
      <c r="C194" t="s">
        <v>23</v>
      </c>
      <c r="D194" t="s">
        <v>35</v>
      </c>
      <c r="E194" t="s">
        <v>33</v>
      </c>
      <c r="F194" s="4">
        <v>6800</v>
      </c>
      <c r="G194" s="4">
        <v>7275</v>
      </c>
      <c r="H194" s="7">
        <f t="shared" si="6"/>
        <v>475</v>
      </c>
      <c r="I194" s="9">
        <f t="shared" si="7"/>
        <v>6.985294117647059E-2</v>
      </c>
      <c r="J194" t="str">
        <f t="shared" si="8"/>
        <v>Unfavourable</v>
      </c>
    </row>
    <row r="195" spans="1:10" x14ac:dyDescent="0.5">
      <c r="A195" t="s">
        <v>7</v>
      </c>
      <c r="B195" t="str">
        <f>CHOOSE(MATCH(A195,{"Jan","Feb","Mar","Apr","May","Jun","Jul","Aug","Sep","Oct","Nov","Dec"},0), "Q1","Q1","Q1", "Q2","Q2","Q2", "Q3","Q3","Q3", "Q4","Q4","Q4")</f>
        <v>Q1</v>
      </c>
      <c r="C195" t="s">
        <v>23</v>
      </c>
      <c r="D195" t="s">
        <v>35</v>
      </c>
      <c r="E195" t="s">
        <v>33</v>
      </c>
      <c r="F195" s="4">
        <v>6560</v>
      </c>
      <c r="G195" s="4">
        <v>7258</v>
      </c>
      <c r="H195" s="7">
        <f t="shared" ref="H195:H258" si="9">G195-F195</f>
        <v>698</v>
      </c>
      <c r="I195" s="9">
        <f t="shared" ref="I195:I258" si="10">SUM(G195-F195)/F195</f>
        <v>0.10640243902439024</v>
      </c>
      <c r="J195" t="str">
        <f t="shared" ref="J195:J258" si="11">IF(C195="Revenue",IF(G195&gt;F195,"Favourable","Unfavourable"),IF(G195&lt;F195,"Favourable","Unfavourable"))</f>
        <v>Unfavourable</v>
      </c>
    </row>
    <row r="196" spans="1:10" x14ac:dyDescent="0.5">
      <c r="A196" t="s">
        <v>8</v>
      </c>
      <c r="B196" t="str">
        <f>CHOOSE(MATCH(A196,{"Jan","Feb","Mar","Apr","May","Jun","Jul","Aug","Sep","Oct","Nov","Dec"},0), "Q1","Q1","Q1", "Q2","Q2","Q2", "Q3","Q3","Q3", "Q4","Q4","Q4")</f>
        <v>Q1</v>
      </c>
      <c r="C196" t="s">
        <v>23</v>
      </c>
      <c r="D196" t="s">
        <v>35</v>
      </c>
      <c r="E196" t="s">
        <v>33</v>
      </c>
      <c r="F196" s="4">
        <v>7360</v>
      </c>
      <c r="G196" s="4">
        <v>7567</v>
      </c>
      <c r="H196" s="7">
        <f t="shared" si="9"/>
        <v>207</v>
      </c>
      <c r="I196" s="9">
        <f t="shared" si="10"/>
        <v>2.8125000000000001E-2</v>
      </c>
      <c r="J196" t="str">
        <f t="shared" si="11"/>
        <v>Unfavourable</v>
      </c>
    </row>
    <row r="197" spans="1:10" x14ac:dyDescent="0.5">
      <c r="A197" t="s">
        <v>9</v>
      </c>
      <c r="B197" t="str">
        <f>CHOOSE(MATCH(A197,{"Jan","Feb","Mar","Apr","May","Jun","Jul","Aug","Sep","Oct","Nov","Dec"},0), "Q1","Q1","Q1", "Q2","Q2","Q2", "Q3","Q3","Q3", "Q4","Q4","Q4")</f>
        <v>Q2</v>
      </c>
      <c r="C197" t="s">
        <v>23</v>
      </c>
      <c r="D197" t="s">
        <v>35</v>
      </c>
      <c r="E197" t="s">
        <v>33</v>
      </c>
      <c r="F197" s="4">
        <v>7600</v>
      </c>
      <c r="G197" s="4">
        <v>7718</v>
      </c>
      <c r="H197" s="7">
        <f t="shared" si="9"/>
        <v>118</v>
      </c>
      <c r="I197" s="9">
        <f t="shared" si="10"/>
        <v>1.5526315789473685E-2</v>
      </c>
      <c r="J197" t="str">
        <f t="shared" si="11"/>
        <v>Unfavourable</v>
      </c>
    </row>
    <row r="198" spans="1:10" x14ac:dyDescent="0.5">
      <c r="A198" t="s">
        <v>10</v>
      </c>
      <c r="B198" t="str">
        <f>CHOOSE(MATCH(A198,{"Jan","Feb","Mar","Apr","May","Jun","Jul","Aug","Sep","Oct","Nov","Dec"},0), "Q1","Q1","Q1", "Q2","Q2","Q2", "Q3","Q3","Q3", "Q4","Q4","Q4")</f>
        <v>Q2</v>
      </c>
      <c r="C198" t="s">
        <v>23</v>
      </c>
      <c r="D198" t="s">
        <v>35</v>
      </c>
      <c r="E198" t="s">
        <v>33</v>
      </c>
      <c r="F198" s="4">
        <v>8000</v>
      </c>
      <c r="G198" s="4">
        <v>7504</v>
      </c>
      <c r="H198" s="7">
        <f t="shared" si="9"/>
        <v>-496</v>
      </c>
      <c r="I198" s="9">
        <f t="shared" si="10"/>
        <v>-6.2E-2</v>
      </c>
      <c r="J198" t="str">
        <f t="shared" si="11"/>
        <v>Favourable</v>
      </c>
    </row>
    <row r="199" spans="1:10" x14ac:dyDescent="0.5">
      <c r="A199" t="s">
        <v>11</v>
      </c>
      <c r="B199" t="str">
        <f>CHOOSE(MATCH(A199,{"Jan","Feb","Mar","Apr","May","Jun","Jul","Aug","Sep","Oct","Nov","Dec"},0), "Q1","Q1","Q1", "Q2","Q2","Q2", "Q3","Q3","Q3", "Q4","Q4","Q4")</f>
        <v>Q2</v>
      </c>
      <c r="C199" t="s">
        <v>23</v>
      </c>
      <c r="D199" t="s">
        <v>35</v>
      </c>
      <c r="E199" t="s">
        <v>33</v>
      </c>
      <c r="F199" s="4">
        <v>8160</v>
      </c>
      <c r="G199" s="4">
        <v>7816</v>
      </c>
      <c r="H199" s="7">
        <f t="shared" si="9"/>
        <v>-344</v>
      </c>
      <c r="I199" s="9">
        <f t="shared" si="10"/>
        <v>-4.2156862745098042E-2</v>
      </c>
      <c r="J199" t="str">
        <f t="shared" si="11"/>
        <v>Favourable</v>
      </c>
    </row>
    <row r="200" spans="1:10" x14ac:dyDescent="0.5">
      <c r="A200" t="s">
        <v>12</v>
      </c>
      <c r="B200" t="str">
        <f>CHOOSE(MATCH(A200,{"Jan","Feb","Mar","Apr","May","Jun","Jul","Aug","Sep","Oct","Nov","Dec"},0), "Q1","Q1","Q1", "Q2","Q2","Q2", "Q3","Q3","Q3", "Q4","Q4","Q4")</f>
        <v>Q3</v>
      </c>
      <c r="C200" t="s">
        <v>23</v>
      </c>
      <c r="D200" t="s">
        <v>35</v>
      </c>
      <c r="E200" t="s">
        <v>33</v>
      </c>
      <c r="F200" s="4">
        <v>7040</v>
      </c>
      <c r="G200" s="4">
        <v>7057</v>
      </c>
      <c r="H200" s="7">
        <f t="shared" si="9"/>
        <v>17</v>
      </c>
      <c r="I200" s="9">
        <f t="shared" si="10"/>
        <v>2.4147727272727272E-3</v>
      </c>
      <c r="J200" t="str">
        <f t="shared" si="11"/>
        <v>Unfavourable</v>
      </c>
    </row>
    <row r="201" spans="1:10" x14ac:dyDescent="0.5">
      <c r="A201" t="s">
        <v>13</v>
      </c>
      <c r="B201" t="str">
        <f>CHOOSE(MATCH(A201,{"Jan","Feb","Mar","Apr","May","Jun","Jul","Aug","Sep","Oct","Nov","Dec"},0), "Q1","Q1","Q1", "Q2","Q2","Q2", "Q3","Q3","Q3", "Q4","Q4","Q4")</f>
        <v>Q3</v>
      </c>
      <c r="C201" t="s">
        <v>23</v>
      </c>
      <c r="D201" t="s">
        <v>35</v>
      </c>
      <c r="E201" t="s">
        <v>33</v>
      </c>
      <c r="F201" s="4">
        <v>6800</v>
      </c>
      <c r="G201" s="4">
        <v>6971</v>
      </c>
      <c r="H201" s="7">
        <f t="shared" si="9"/>
        <v>171</v>
      </c>
      <c r="I201" s="9">
        <f t="shared" si="10"/>
        <v>2.5147058823529411E-2</v>
      </c>
      <c r="J201" t="str">
        <f t="shared" si="11"/>
        <v>Unfavourable</v>
      </c>
    </row>
    <row r="202" spans="1:10" x14ac:dyDescent="0.5">
      <c r="A202" t="s">
        <v>14</v>
      </c>
      <c r="B202" t="str">
        <f>CHOOSE(MATCH(A202,{"Jan","Feb","Mar","Apr","May","Jun","Jul","Aug","Sep","Oct","Nov","Dec"},0), "Q1","Q1","Q1", "Q2","Q2","Q2", "Q3","Q3","Q3", "Q4","Q4","Q4")</f>
        <v>Q3</v>
      </c>
      <c r="C202" t="s">
        <v>23</v>
      </c>
      <c r="D202" t="s">
        <v>35</v>
      </c>
      <c r="E202" t="s">
        <v>33</v>
      </c>
      <c r="F202" s="4">
        <v>8000</v>
      </c>
      <c r="G202" s="4">
        <v>8232</v>
      </c>
      <c r="H202" s="7">
        <f t="shared" si="9"/>
        <v>232</v>
      </c>
      <c r="I202" s="9">
        <f t="shared" si="10"/>
        <v>2.9000000000000001E-2</v>
      </c>
      <c r="J202" t="str">
        <f t="shared" si="11"/>
        <v>Unfavourable</v>
      </c>
    </row>
    <row r="203" spans="1:10" x14ac:dyDescent="0.5">
      <c r="A203" t="s">
        <v>15</v>
      </c>
      <c r="B203" t="str">
        <f>CHOOSE(MATCH(A203,{"Jan","Feb","Mar","Apr","May","Jun","Jul","Aug","Sep","Oct","Nov","Dec"},0), "Q1","Q1","Q1", "Q2","Q2","Q2", "Q3","Q3","Q3", "Q4","Q4","Q4")</f>
        <v>Q4</v>
      </c>
      <c r="C203" t="s">
        <v>23</v>
      </c>
      <c r="D203" t="s">
        <v>35</v>
      </c>
      <c r="E203" t="s">
        <v>33</v>
      </c>
      <c r="F203" s="4">
        <v>8400</v>
      </c>
      <c r="G203" s="4">
        <v>8199</v>
      </c>
      <c r="H203" s="7">
        <f t="shared" si="9"/>
        <v>-201</v>
      </c>
      <c r="I203" s="9">
        <f t="shared" si="10"/>
        <v>-2.3928571428571428E-2</v>
      </c>
      <c r="J203" t="str">
        <f t="shared" si="11"/>
        <v>Favourable</v>
      </c>
    </row>
    <row r="204" spans="1:10" x14ac:dyDescent="0.5">
      <c r="A204" t="s">
        <v>16</v>
      </c>
      <c r="B204" t="str">
        <f>CHOOSE(MATCH(A204,{"Jan","Feb","Mar","Apr","May","Jun","Jul","Aug","Sep","Oct","Nov","Dec"},0), "Q1","Q1","Q1", "Q2","Q2","Q2", "Q3","Q3","Q3", "Q4","Q4","Q4")</f>
        <v>Q4</v>
      </c>
      <c r="C204" t="s">
        <v>23</v>
      </c>
      <c r="D204" t="s">
        <v>35</v>
      </c>
      <c r="E204" t="s">
        <v>33</v>
      </c>
      <c r="F204" s="4">
        <v>8640</v>
      </c>
      <c r="G204" s="4">
        <v>8142</v>
      </c>
      <c r="H204" s="7">
        <f t="shared" si="9"/>
        <v>-498</v>
      </c>
      <c r="I204" s="9">
        <f t="shared" si="10"/>
        <v>-5.7638888888888892E-2</v>
      </c>
      <c r="J204" t="str">
        <f t="shared" si="11"/>
        <v>Favourable</v>
      </c>
    </row>
    <row r="205" spans="1:10" x14ac:dyDescent="0.5">
      <c r="A205" t="s">
        <v>17</v>
      </c>
      <c r="B205" t="str">
        <f>CHOOSE(MATCH(A205,{"Jan","Feb","Mar","Apr","May","Jun","Jul","Aug","Sep","Oct","Nov","Dec"},0), "Q1","Q1","Q1", "Q2","Q2","Q2", "Q3","Q3","Q3", "Q4","Q4","Q4")</f>
        <v>Q4</v>
      </c>
      <c r="C205" t="s">
        <v>23</v>
      </c>
      <c r="D205" t="s">
        <v>35</v>
      </c>
      <c r="E205" t="s">
        <v>33</v>
      </c>
      <c r="F205" s="4">
        <v>12640</v>
      </c>
      <c r="G205" s="4">
        <v>12148</v>
      </c>
      <c r="H205" s="7">
        <f t="shared" si="9"/>
        <v>-492</v>
      </c>
      <c r="I205" s="9">
        <f t="shared" si="10"/>
        <v>-3.8924050632911392E-2</v>
      </c>
      <c r="J205" t="str">
        <f t="shared" si="11"/>
        <v>Favourable</v>
      </c>
    </row>
    <row r="206" spans="1:10" x14ac:dyDescent="0.5">
      <c r="A206" t="s">
        <v>4</v>
      </c>
      <c r="B206" t="str">
        <f>CHOOSE(MATCH(A206,{"Jan","Feb","Mar","Apr","May","Jun","Jul","Aug","Sep","Oct","Nov","Dec"},0), "Q1","Q1","Q1", "Q2","Q2","Q2", "Q3","Q3","Q3", "Q4","Q4","Q4")</f>
        <v>Q1</v>
      </c>
      <c r="C206" t="s">
        <v>23</v>
      </c>
      <c r="D206" t="s">
        <v>36</v>
      </c>
      <c r="E206" t="s">
        <v>33</v>
      </c>
      <c r="F206" s="4">
        <v>12750</v>
      </c>
      <c r="G206" s="4">
        <v>12012</v>
      </c>
      <c r="H206" s="7">
        <f t="shared" si="9"/>
        <v>-738</v>
      </c>
      <c r="I206" s="9">
        <f t="shared" si="10"/>
        <v>-5.7882352941176468E-2</v>
      </c>
      <c r="J206" t="str">
        <f t="shared" si="11"/>
        <v>Favourable</v>
      </c>
    </row>
    <row r="207" spans="1:10" x14ac:dyDescent="0.5">
      <c r="A207" t="s">
        <v>7</v>
      </c>
      <c r="B207" t="str">
        <f>CHOOSE(MATCH(A207,{"Jan","Feb","Mar","Apr","May","Jun","Jul","Aug","Sep","Oct","Nov","Dec"},0), "Q1","Q1","Q1", "Q2","Q2","Q2", "Q3","Q3","Q3", "Q4","Q4","Q4")</f>
        <v>Q1</v>
      </c>
      <c r="C207" t="s">
        <v>23</v>
      </c>
      <c r="D207" t="s">
        <v>36</v>
      </c>
      <c r="E207" t="s">
        <v>33</v>
      </c>
      <c r="F207" s="4">
        <v>12300</v>
      </c>
      <c r="G207" s="4">
        <v>12696</v>
      </c>
      <c r="H207" s="7">
        <f t="shared" si="9"/>
        <v>396</v>
      </c>
      <c r="I207" s="9">
        <f t="shared" si="10"/>
        <v>3.2195121951219513E-2</v>
      </c>
      <c r="J207" t="str">
        <f t="shared" si="11"/>
        <v>Unfavourable</v>
      </c>
    </row>
    <row r="208" spans="1:10" x14ac:dyDescent="0.5">
      <c r="A208" t="s">
        <v>8</v>
      </c>
      <c r="B208" t="str">
        <f>CHOOSE(MATCH(A208,{"Jan","Feb","Mar","Apr","May","Jun","Jul","Aug","Sep","Oct","Nov","Dec"},0), "Q1","Q1","Q1", "Q2","Q2","Q2", "Q3","Q3","Q3", "Q4","Q4","Q4")</f>
        <v>Q1</v>
      </c>
      <c r="C208" t="s">
        <v>23</v>
      </c>
      <c r="D208" t="s">
        <v>36</v>
      </c>
      <c r="E208" t="s">
        <v>33</v>
      </c>
      <c r="F208" s="4">
        <v>13800</v>
      </c>
      <c r="G208" s="4">
        <v>12205</v>
      </c>
      <c r="H208" s="7">
        <f t="shared" si="9"/>
        <v>-1595</v>
      </c>
      <c r="I208" s="9">
        <f t="shared" si="10"/>
        <v>-0.11557971014492753</v>
      </c>
      <c r="J208" t="str">
        <f t="shared" si="11"/>
        <v>Favourable</v>
      </c>
    </row>
    <row r="209" spans="1:10" x14ac:dyDescent="0.5">
      <c r="A209" t="s">
        <v>9</v>
      </c>
      <c r="B209" t="str">
        <f>CHOOSE(MATCH(A209,{"Jan","Feb","Mar","Apr","May","Jun","Jul","Aug","Sep","Oct","Nov","Dec"},0), "Q1","Q1","Q1", "Q2","Q2","Q2", "Q3","Q3","Q3", "Q4","Q4","Q4")</f>
        <v>Q2</v>
      </c>
      <c r="C209" t="s">
        <v>23</v>
      </c>
      <c r="D209" t="s">
        <v>36</v>
      </c>
      <c r="E209" t="s">
        <v>33</v>
      </c>
      <c r="F209" s="4">
        <v>14250</v>
      </c>
      <c r="G209" s="4">
        <v>14013</v>
      </c>
      <c r="H209" s="7">
        <f t="shared" si="9"/>
        <v>-237</v>
      </c>
      <c r="I209" s="9">
        <f t="shared" si="10"/>
        <v>-1.6631578947368421E-2</v>
      </c>
      <c r="J209" t="str">
        <f t="shared" si="11"/>
        <v>Favourable</v>
      </c>
    </row>
    <row r="210" spans="1:10" x14ac:dyDescent="0.5">
      <c r="A210" t="s">
        <v>10</v>
      </c>
      <c r="B210" t="str">
        <f>CHOOSE(MATCH(A210,{"Jan","Feb","Mar","Apr","May","Jun","Jul","Aug","Sep","Oct","Nov","Dec"},0), "Q1","Q1","Q1", "Q2","Q2","Q2", "Q3","Q3","Q3", "Q4","Q4","Q4")</f>
        <v>Q2</v>
      </c>
      <c r="C210" t="s">
        <v>23</v>
      </c>
      <c r="D210" t="s">
        <v>36</v>
      </c>
      <c r="E210" t="s">
        <v>33</v>
      </c>
      <c r="F210" s="4">
        <v>15000</v>
      </c>
      <c r="G210" s="4">
        <v>15337</v>
      </c>
      <c r="H210" s="7">
        <f t="shared" si="9"/>
        <v>337</v>
      </c>
      <c r="I210" s="9">
        <f t="shared" si="10"/>
        <v>2.2466666666666666E-2</v>
      </c>
      <c r="J210" t="str">
        <f t="shared" si="11"/>
        <v>Unfavourable</v>
      </c>
    </row>
    <row r="211" spans="1:10" x14ac:dyDescent="0.5">
      <c r="A211" t="s">
        <v>11</v>
      </c>
      <c r="B211" t="str">
        <f>CHOOSE(MATCH(A211,{"Jan","Feb","Mar","Apr","May","Jun","Jul","Aug","Sep","Oct","Nov","Dec"},0), "Q1","Q1","Q1", "Q2","Q2","Q2", "Q3","Q3","Q3", "Q4","Q4","Q4")</f>
        <v>Q2</v>
      </c>
      <c r="C211" t="s">
        <v>23</v>
      </c>
      <c r="D211" t="s">
        <v>36</v>
      </c>
      <c r="E211" t="s">
        <v>33</v>
      </c>
      <c r="F211" s="4">
        <v>15300</v>
      </c>
      <c r="G211" s="4">
        <v>16464</v>
      </c>
      <c r="H211" s="7">
        <f t="shared" si="9"/>
        <v>1164</v>
      </c>
      <c r="I211" s="9">
        <f t="shared" si="10"/>
        <v>7.6078431372549021E-2</v>
      </c>
      <c r="J211" t="str">
        <f t="shared" si="11"/>
        <v>Unfavourable</v>
      </c>
    </row>
    <row r="212" spans="1:10" x14ac:dyDescent="0.5">
      <c r="A212" t="s">
        <v>12</v>
      </c>
      <c r="B212" t="str">
        <f>CHOOSE(MATCH(A212,{"Jan","Feb","Mar","Apr","May","Jun","Jul","Aug","Sep","Oct","Nov","Dec"},0), "Q1","Q1","Q1", "Q2","Q2","Q2", "Q3","Q3","Q3", "Q4","Q4","Q4")</f>
        <v>Q3</v>
      </c>
      <c r="C212" t="s">
        <v>23</v>
      </c>
      <c r="D212" t="s">
        <v>36</v>
      </c>
      <c r="E212" t="s">
        <v>33</v>
      </c>
      <c r="F212" s="4">
        <v>13200</v>
      </c>
      <c r="G212" s="4">
        <v>13247</v>
      </c>
      <c r="H212" s="7">
        <f t="shared" si="9"/>
        <v>47</v>
      </c>
      <c r="I212" s="9">
        <f t="shared" si="10"/>
        <v>3.5606060606060605E-3</v>
      </c>
      <c r="J212" t="str">
        <f t="shared" si="11"/>
        <v>Unfavourable</v>
      </c>
    </row>
    <row r="213" spans="1:10" x14ac:dyDescent="0.5">
      <c r="A213" t="s">
        <v>13</v>
      </c>
      <c r="B213" t="str">
        <f>CHOOSE(MATCH(A213,{"Jan","Feb","Mar","Apr","May","Jun","Jul","Aug","Sep","Oct","Nov","Dec"},0), "Q1","Q1","Q1", "Q2","Q2","Q2", "Q3","Q3","Q3", "Q4","Q4","Q4")</f>
        <v>Q3</v>
      </c>
      <c r="C213" t="s">
        <v>23</v>
      </c>
      <c r="D213" t="s">
        <v>36</v>
      </c>
      <c r="E213" t="s">
        <v>33</v>
      </c>
      <c r="F213" s="4">
        <v>12750</v>
      </c>
      <c r="G213" s="4">
        <v>13388</v>
      </c>
      <c r="H213" s="7">
        <f t="shared" si="9"/>
        <v>638</v>
      </c>
      <c r="I213" s="9">
        <f t="shared" si="10"/>
        <v>5.0039215686274507E-2</v>
      </c>
      <c r="J213" t="str">
        <f t="shared" si="11"/>
        <v>Unfavourable</v>
      </c>
    </row>
    <row r="214" spans="1:10" x14ac:dyDescent="0.5">
      <c r="A214" t="s">
        <v>14</v>
      </c>
      <c r="B214" t="str">
        <f>CHOOSE(MATCH(A214,{"Jan","Feb","Mar","Apr","May","Jun","Jul","Aug","Sep","Oct","Nov","Dec"},0), "Q1","Q1","Q1", "Q2","Q2","Q2", "Q3","Q3","Q3", "Q4","Q4","Q4")</f>
        <v>Q3</v>
      </c>
      <c r="C214" t="s">
        <v>23</v>
      </c>
      <c r="D214" t="s">
        <v>36</v>
      </c>
      <c r="E214" t="s">
        <v>33</v>
      </c>
      <c r="F214" s="4">
        <v>15000</v>
      </c>
      <c r="G214" s="4">
        <v>14701</v>
      </c>
      <c r="H214" s="7">
        <f t="shared" si="9"/>
        <v>-299</v>
      </c>
      <c r="I214" s="9">
        <f t="shared" si="10"/>
        <v>-1.9933333333333334E-2</v>
      </c>
      <c r="J214" t="str">
        <f t="shared" si="11"/>
        <v>Favourable</v>
      </c>
    </row>
    <row r="215" spans="1:10" x14ac:dyDescent="0.5">
      <c r="A215" t="s">
        <v>15</v>
      </c>
      <c r="B215" t="str">
        <f>CHOOSE(MATCH(A215,{"Jan","Feb","Mar","Apr","May","Jun","Jul","Aug","Sep","Oct","Nov","Dec"},0), "Q1","Q1","Q1", "Q2","Q2","Q2", "Q3","Q3","Q3", "Q4","Q4","Q4")</f>
        <v>Q4</v>
      </c>
      <c r="C215" t="s">
        <v>23</v>
      </c>
      <c r="D215" t="s">
        <v>36</v>
      </c>
      <c r="E215" t="s">
        <v>33</v>
      </c>
      <c r="F215" s="4">
        <v>15750</v>
      </c>
      <c r="G215" s="4">
        <v>15164</v>
      </c>
      <c r="H215" s="7">
        <f t="shared" si="9"/>
        <v>-586</v>
      </c>
      <c r="I215" s="9">
        <f t="shared" si="10"/>
        <v>-3.7206349206349208E-2</v>
      </c>
      <c r="J215" t="str">
        <f t="shared" si="11"/>
        <v>Favourable</v>
      </c>
    </row>
    <row r="216" spans="1:10" x14ac:dyDescent="0.5">
      <c r="A216" t="s">
        <v>16</v>
      </c>
      <c r="B216" t="str">
        <f>CHOOSE(MATCH(A216,{"Jan","Feb","Mar","Apr","May","Jun","Jul","Aug","Sep","Oct","Nov","Dec"},0), "Q1","Q1","Q1", "Q2","Q2","Q2", "Q3","Q3","Q3", "Q4","Q4","Q4")</f>
        <v>Q4</v>
      </c>
      <c r="C216" t="s">
        <v>23</v>
      </c>
      <c r="D216" t="s">
        <v>36</v>
      </c>
      <c r="E216" t="s">
        <v>33</v>
      </c>
      <c r="F216" s="4">
        <v>16200</v>
      </c>
      <c r="G216" s="4">
        <v>15654</v>
      </c>
      <c r="H216" s="7">
        <f t="shared" si="9"/>
        <v>-546</v>
      </c>
      <c r="I216" s="9">
        <f t="shared" si="10"/>
        <v>-3.3703703703703701E-2</v>
      </c>
      <c r="J216" t="str">
        <f t="shared" si="11"/>
        <v>Favourable</v>
      </c>
    </row>
    <row r="217" spans="1:10" x14ac:dyDescent="0.5">
      <c r="A217" t="s">
        <v>17</v>
      </c>
      <c r="B217" t="str">
        <f>CHOOSE(MATCH(A217,{"Jan","Feb","Mar","Apr","May","Jun","Jul","Aug","Sep","Oct","Nov","Dec"},0), "Q1","Q1","Q1", "Q2","Q2","Q2", "Q3","Q3","Q3", "Q4","Q4","Q4")</f>
        <v>Q4</v>
      </c>
      <c r="C217" t="s">
        <v>23</v>
      </c>
      <c r="D217" t="s">
        <v>36</v>
      </c>
      <c r="E217" t="s">
        <v>33</v>
      </c>
      <c r="F217" s="4">
        <v>23700</v>
      </c>
      <c r="G217" s="4">
        <v>25510</v>
      </c>
      <c r="H217" s="7">
        <f t="shared" si="9"/>
        <v>1810</v>
      </c>
      <c r="I217" s="9">
        <f t="shared" si="10"/>
        <v>7.6371308016877637E-2</v>
      </c>
      <c r="J217" t="str">
        <f t="shared" si="11"/>
        <v>Unfavourable</v>
      </c>
    </row>
    <row r="218" spans="1:10" x14ac:dyDescent="0.5">
      <c r="A218" t="s">
        <v>4</v>
      </c>
      <c r="B218" t="str">
        <f>CHOOSE(MATCH(A218,{"Jan","Feb","Mar","Apr","May","Jun","Jul","Aug","Sep","Oct","Nov","Dec"},0), "Q1","Q1","Q1", "Q2","Q2","Q2", "Q3","Q3","Q3", "Q4","Q4","Q4")</f>
        <v>Q1</v>
      </c>
      <c r="C218" t="s">
        <v>23</v>
      </c>
      <c r="D218" t="s">
        <v>37</v>
      </c>
      <c r="E218" t="s">
        <v>33</v>
      </c>
      <c r="F218" s="4">
        <v>5100</v>
      </c>
      <c r="G218" s="4">
        <v>5354</v>
      </c>
      <c r="H218" s="7">
        <f t="shared" si="9"/>
        <v>254</v>
      </c>
      <c r="I218" s="9">
        <f t="shared" si="10"/>
        <v>4.9803921568627452E-2</v>
      </c>
      <c r="J218" t="str">
        <f t="shared" si="11"/>
        <v>Unfavourable</v>
      </c>
    </row>
    <row r="219" spans="1:10" x14ac:dyDescent="0.5">
      <c r="A219" t="s">
        <v>7</v>
      </c>
      <c r="B219" t="str">
        <f>CHOOSE(MATCH(A219,{"Jan","Feb","Mar","Apr","May","Jun","Jul","Aug","Sep","Oct","Nov","Dec"},0), "Q1","Q1","Q1", "Q2","Q2","Q2", "Q3","Q3","Q3", "Q4","Q4","Q4")</f>
        <v>Q1</v>
      </c>
      <c r="C219" t="s">
        <v>23</v>
      </c>
      <c r="D219" t="s">
        <v>37</v>
      </c>
      <c r="E219" t="s">
        <v>33</v>
      </c>
      <c r="F219" s="4">
        <v>4920</v>
      </c>
      <c r="G219" s="4">
        <v>5040</v>
      </c>
      <c r="H219" s="7">
        <f t="shared" si="9"/>
        <v>120</v>
      </c>
      <c r="I219" s="9">
        <f t="shared" si="10"/>
        <v>2.4390243902439025E-2</v>
      </c>
      <c r="J219" t="str">
        <f t="shared" si="11"/>
        <v>Unfavourable</v>
      </c>
    </row>
    <row r="220" spans="1:10" x14ac:dyDescent="0.5">
      <c r="A220" t="s">
        <v>8</v>
      </c>
      <c r="B220" t="str">
        <f>CHOOSE(MATCH(A220,{"Jan","Feb","Mar","Apr","May","Jun","Jul","Aug","Sep","Oct","Nov","Dec"},0), "Q1","Q1","Q1", "Q2","Q2","Q2", "Q3","Q3","Q3", "Q4","Q4","Q4")</f>
        <v>Q1</v>
      </c>
      <c r="C220" t="s">
        <v>23</v>
      </c>
      <c r="D220" t="s">
        <v>37</v>
      </c>
      <c r="E220" t="s">
        <v>33</v>
      </c>
      <c r="F220" s="4">
        <v>5520</v>
      </c>
      <c r="G220" s="4">
        <v>6439</v>
      </c>
      <c r="H220" s="7">
        <f t="shared" si="9"/>
        <v>919</v>
      </c>
      <c r="I220" s="9">
        <f t="shared" si="10"/>
        <v>0.16648550724637681</v>
      </c>
      <c r="J220" t="str">
        <f t="shared" si="11"/>
        <v>Unfavourable</v>
      </c>
    </row>
    <row r="221" spans="1:10" x14ac:dyDescent="0.5">
      <c r="A221" t="s">
        <v>9</v>
      </c>
      <c r="B221" t="str">
        <f>CHOOSE(MATCH(A221,{"Jan","Feb","Mar","Apr","May","Jun","Jul","Aug","Sep","Oct","Nov","Dec"},0), "Q1","Q1","Q1", "Q2","Q2","Q2", "Q3","Q3","Q3", "Q4","Q4","Q4")</f>
        <v>Q2</v>
      </c>
      <c r="C221" t="s">
        <v>23</v>
      </c>
      <c r="D221" t="s">
        <v>37</v>
      </c>
      <c r="E221" t="s">
        <v>33</v>
      </c>
      <c r="F221" s="4">
        <v>5700</v>
      </c>
      <c r="G221" s="4">
        <v>5691</v>
      </c>
      <c r="H221" s="7">
        <f t="shared" si="9"/>
        <v>-9</v>
      </c>
      <c r="I221" s="9">
        <f t="shared" si="10"/>
        <v>-1.5789473684210526E-3</v>
      </c>
      <c r="J221" t="str">
        <f t="shared" si="11"/>
        <v>Favourable</v>
      </c>
    </row>
    <row r="222" spans="1:10" x14ac:dyDescent="0.5">
      <c r="A222" t="s">
        <v>10</v>
      </c>
      <c r="B222" t="str">
        <f>CHOOSE(MATCH(A222,{"Jan","Feb","Mar","Apr","May","Jun","Jul","Aug","Sep","Oct","Nov","Dec"},0), "Q1","Q1","Q1", "Q2","Q2","Q2", "Q3","Q3","Q3", "Q4","Q4","Q4")</f>
        <v>Q2</v>
      </c>
      <c r="C222" t="s">
        <v>23</v>
      </c>
      <c r="D222" t="s">
        <v>37</v>
      </c>
      <c r="E222" t="s">
        <v>33</v>
      </c>
      <c r="F222" s="4">
        <v>6000</v>
      </c>
      <c r="G222" s="4">
        <v>6186</v>
      </c>
      <c r="H222" s="7">
        <f t="shared" si="9"/>
        <v>186</v>
      </c>
      <c r="I222" s="9">
        <f t="shared" si="10"/>
        <v>3.1E-2</v>
      </c>
      <c r="J222" t="str">
        <f t="shared" si="11"/>
        <v>Unfavourable</v>
      </c>
    </row>
    <row r="223" spans="1:10" x14ac:dyDescent="0.5">
      <c r="A223" t="s">
        <v>11</v>
      </c>
      <c r="B223" t="str">
        <f>CHOOSE(MATCH(A223,{"Jan","Feb","Mar","Apr","May","Jun","Jul","Aug","Sep","Oct","Nov","Dec"},0), "Q1","Q1","Q1", "Q2","Q2","Q2", "Q3","Q3","Q3", "Q4","Q4","Q4")</f>
        <v>Q2</v>
      </c>
      <c r="C223" t="s">
        <v>23</v>
      </c>
      <c r="D223" t="s">
        <v>37</v>
      </c>
      <c r="E223" t="s">
        <v>33</v>
      </c>
      <c r="F223" s="4">
        <v>6120</v>
      </c>
      <c r="G223" s="4">
        <v>6214</v>
      </c>
      <c r="H223" s="7">
        <f t="shared" si="9"/>
        <v>94</v>
      </c>
      <c r="I223" s="9">
        <f t="shared" si="10"/>
        <v>1.5359477124183006E-2</v>
      </c>
      <c r="J223" t="str">
        <f t="shared" si="11"/>
        <v>Unfavourable</v>
      </c>
    </row>
    <row r="224" spans="1:10" x14ac:dyDescent="0.5">
      <c r="A224" t="s">
        <v>12</v>
      </c>
      <c r="B224" t="str">
        <f>CHOOSE(MATCH(A224,{"Jan","Feb","Mar","Apr","May","Jun","Jul","Aug","Sep","Oct","Nov","Dec"},0), "Q1","Q1","Q1", "Q2","Q2","Q2", "Q3","Q3","Q3", "Q4","Q4","Q4")</f>
        <v>Q3</v>
      </c>
      <c r="C224" t="s">
        <v>23</v>
      </c>
      <c r="D224" t="s">
        <v>37</v>
      </c>
      <c r="E224" t="s">
        <v>33</v>
      </c>
      <c r="F224" s="4">
        <v>5280</v>
      </c>
      <c r="G224" s="4">
        <v>5221</v>
      </c>
      <c r="H224" s="7">
        <f t="shared" si="9"/>
        <v>-59</v>
      </c>
      <c r="I224" s="9">
        <f t="shared" si="10"/>
        <v>-1.1174242424242425E-2</v>
      </c>
      <c r="J224" t="str">
        <f t="shared" si="11"/>
        <v>Favourable</v>
      </c>
    </row>
    <row r="225" spans="1:10" x14ac:dyDescent="0.5">
      <c r="A225" t="s">
        <v>13</v>
      </c>
      <c r="B225" t="str">
        <f>CHOOSE(MATCH(A225,{"Jan","Feb","Mar","Apr","May","Jun","Jul","Aug","Sep","Oct","Nov","Dec"},0), "Q1","Q1","Q1", "Q2","Q2","Q2", "Q3","Q3","Q3", "Q4","Q4","Q4")</f>
        <v>Q3</v>
      </c>
      <c r="C225" t="s">
        <v>23</v>
      </c>
      <c r="D225" t="s">
        <v>37</v>
      </c>
      <c r="E225" t="s">
        <v>33</v>
      </c>
      <c r="F225" s="4">
        <v>5100</v>
      </c>
      <c r="G225" s="4">
        <v>5691</v>
      </c>
      <c r="H225" s="7">
        <f t="shared" si="9"/>
        <v>591</v>
      </c>
      <c r="I225" s="9">
        <f t="shared" si="10"/>
        <v>0.11588235294117646</v>
      </c>
      <c r="J225" t="str">
        <f t="shared" si="11"/>
        <v>Unfavourable</v>
      </c>
    </row>
    <row r="226" spans="1:10" x14ac:dyDescent="0.5">
      <c r="A226" t="s">
        <v>14</v>
      </c>
      <c r="B226" t="str">
        <f>CHOOSE(MATCH(A226,{"Jan","Feb","Mar","Apr","May","Jun","Jul","Aug","Sep","Oct","Nov","Dec"},0), "Q1","Q1","Q1", "Q2","Q2","Q2", "Q3","Q3","Q3", "Q4","Q4","Q4")</f>
        <v>Q3</v>
      </c>
      <c r="C226" t="s">
        <v>23</v>
      </c>
      <c r="D226" t="s">
        <v>37</v>
      </c>
      <c r="E226" t="s">
        <v>33</v>
      </c>
      <c r="F226" s="4">
        <v>6000</v>
      </c>
      <c r="G226" s="4">
        <v>6452</v>
      </c>
      <c r="H226" s="7">
        <f t="shared" si="9"/>
        <v>452</v>
      </c>
      <c r="I226" s="9">
        <f t="shared" si="10"/>
        <v>7.5333333333333335E-2</v>
      </c>
      <c r="J226" t="str">
        <f t="shared" si="11"/>
        <v>Unfavourable</v>
      </c>
    </row>
    <row r="227" spans="1:10" x14ac:dyDescent="0.5">
      <c r="A227" t="s">
        <v>15</v>
      </c>
      <c r="B227" t="str">
        <f>CHOOSE(MATCH(A227,{"Jan","Feb","Mar","Apr","May","Jun","Jul","Aug","Sep","Oct","Nov","Dec"},0), "Q1","Q1","Q1", "Q2","Q2","Q2", "Q3","Q3","Q3", "Q4","Q4","Q4")</f>
        <v>Q4</v>
      </c>
      <c r="C227" t="s">
        <v>23</v>
      </c>
      <c r="D227" t="s">
        <v>37</v>
      </c>
      <c r="E227" t="s">
        <v>33</v>
      </c>
      <c r="F227" s="4">
        <v>6300</v>
      </c>
      <c r="G227" s="4">
        <v>5859</v>
      </c>
      <c r="H227" s="7">
        <f t="shared" si="9"/>
        <v>-441</v>
      </c>
      <c r="I227" s="9">
        <f t="shared" si="10"/>
        <v>-7.0000000000000007E-2</v>
      </c>
      <c r="J227" t="str">
        <f t="shared" si="11"/>
        <v>Favourable</v>
      </c>
    </row>
    <row r="228" spans="1:10" x14ac:dyDescent="0.5">
      <c r="A228" t="s">
        <v>16</v>
      </c>
      <c r="B228" t="str">
        <f>CHOOSE(MATCH(A228,{"Jan","Feb","Mar","Apr","May","Jun","Jul","Aug","Sep","Oct","Nov","Dec"},0), "Q1","Q1","Q1", "Q2","Q2","Q2", "Q3","Q3","Q3", "Q4","Q4","Q4")</f>
        <v>Q4</v>
      </c>
      <c r="C228" t="s">
        <v>23</v>
      </c>
      <c r="D228" t="s">
        <v>37</v>
      </c>
      <c r="E228" t="s">
        <v>33</v>
      </c>
      <c r="F228" s="4">
        <v>6480</v>
      </c>
      <c r="G228" s="4">
        <v>6350</v>
      </c>
      <c r="H228" s="7">
        <f t="shared" si="9"/>
        <v>-130</v>
      </c>
      <c r="I228" s="9">
        <f t="shared" si="10"/>
        <v>-2.0061728395061727E-2</v>
      </c>
      <c r="J228" t="str">
        <f t="shared" si="11"/>
        <v>Favourable</v>
      </c>
    </row>
    <row r="229" spans="1:10" x14ac:dyDescent="0.5">
      <c r="A229" t="s">
        <v>17</v>
      </c>
      <c r="B229" t="str">
        <f>CHOOSE(MATCH(A229,{"Jan","Feb","Mar","Apr","May","Jun","Jul","Aug","Sep","Oct","Nov","Dec"},0), "Q1","Q1","Q1", "Q2","Q2","Q2", "Q3","Q3","Q3", "Q4","Q4","Q4")</f>
        <v>Q4</v>
      </c>
      <c r="C229" t="s">
        <v>23</v>
      </c>
      <c r="D229" t="s">
        <v>37</v>
      </c>
      <c r="E229" t="s">
        <v>33</v>
      </c>
      <c r="F229" s="4">
        <v>9480</v>
      </c>
      <c r="G229" s="4">
        <v>9683</v>
      </c>
      <c r="H229" s="7">
        <f t="shared" si="9"/>
        <v>203</v>
      </c>
      <c r="I229" s="9">
        <f t="shared" si="10"/>
        <v>2.1413502109704642E-2</v>
      </c>
      <c r="J229" t="str">
        <f t="shared" si="11"/>
        <v>Unfavourable</v>
      </c>
    </row>
    <row r="230" spans="1:10" x14ac:dyDescent="0.5">
      <c r="A230" t="s">
        <v>4</v>
      </c>
      <c r="B230" t="str">
        <f>CHOOSE(MATCH(A230,{"Jan","Feb","Mar","Apr","May","Jun","Jul","Aug","Sep","Oct","Nov","Dec"},0), "Q1","Q1","Q1", "Q2","Q2","Q2", "Q3","Q3","Q3", "Q4","Q4","Q4")</f>
        <v>Q1</v>
      </c>
      <c r="C230" t="s">
        <v>23</v>
      </c>
      <c r="D230" t="s">
        <v>38</v>
      </c>
      <c r="E230" t="s">
        <v>33</v>
      </c>
      <c r="F230" s="4">
        <v>17000</v>
      </c>
      <c r="G230" s="4">
        <v>17666</v>
      </c>
      <c r="H230" s="7">
        <f t="shared" si="9"/>
        <v>666</v>
      </c>
      <c r="I230" s="9">
        <f t="shared" si="10"/>
        <v>3.9176470588235292E-2</v>
      </c>
      <c r="J230" t="str">
        <f t="shared" si="11"/>
        <v>Unfavourable</v>
      </c>
    </row>
    <row r="231" spans="1:10" x14ac:dyDescent="0.5">
      <c r="A231" t="s">
        <v>7</v>
      </c>
      <c r="B231" t="str">
        <f>CHOOSE(MATCH(A231,{"Jan","Feb","Mar","Apr","May","Jun","Jul","Aug","Sep","Oct","Nov","Dec"},0), "Q1","Q1","Q1", "Q2","Q2","Q2", "Q3","Q3","Q3", "Q4","Q4","Q4")</f>
        <v>Q1</v>
      </c>
      <c r="C231" t="s">
        <v>23</v>
      </c>
      <c r="D231" t="s">
        <v>38</v>
      </c>
      <c r="E231" t="s">
        <v>33</v>
      </c>
      <c r="F231" s="4">
        <v>16400</v>
      </c>
      <c r="G231" s="4">
        <v>15294</v>
      </c>
      <c r="H231" s="7">
        <f t="shared" si="9"/>
        <v>-1106</v>
      </c>
      <c r="I231" s="9">
        <f t="shared" si="10"/>
        <v>-6.7439024390243907E-2</v>
      </c>
      <c r="J231" t="str">
        <f t="shared" si="11"/>
        <v>Favourable</v>
      </c>
    </row>
    <row r="232" spans="1:10" x14ac:dyDescent="0.5">
      <c r="A232" t="s">
        <v>8</v>
      </c>
      <c r="B232" t="str">
        <f>CHOOSE(MATCH(A232,{"Jan","Feb","Mar","Apr","May","Jun","Jul","Aug","Sep","Oct","Nov","Dec"},0), "Q1","Q1","Q1", "Q2","Q2","Q2", "Q3","Q3","Q3", "Q4","Q4","Q4")</f>
        <v>Q1</v>
      </c>
      <c r="C232" t="s">
        <v>23</v>
      </c>
      <c r="D232" t="s">
        <v>38</v>
      </c>
      <c r="E232" t="s">
        <v>33</v>
      </c>
      <c r="F232" s="4">
        <v>18400</v>
      </c>
      <c r="G232" s="4">
        <v>16325</v>
      </c>
      <c r="H232" s="7">
        <f t="shared" si="9"/>
        <v>-2075</v>
      </c>
      <c r="I232" s="9">
        <f t="shared" si="10"/>
        <v>-0.11277173913043478</v>
      </c>
      <c r="J232" t="str">
        <f t="shared" si="11"/>
        <v>Favourable</v>
      </c>
    </row>
    <row r="233" spans="1:10" x14ac:dyDescent="0.5">
      <c r="A233" t="s">
        <v>9</v>
      </c>
      <c r="B233" t="str">
        <f>CHOOSE(MATCH(A233,{"Jan","Feb","Mar","Apr","May","Jun","Jul","Aug","Sep","Oct","Nov","Dec"},0), "Q1","Q1","Q1", "Q2","Q2","Q2", "Q3","Q3","Q3", "Q4","Q4","Q4")</f>
        <v>Q2</v>
      </c>
      <c r="C233" t="s">
        <v>23</v>
      </c>
      <c r="D233" t="s">
        <v>38</v>
      </c>
      <c r="E233" t="s">
        <v>33</v>
      </c>
      <c r="F233" s="4">
        <v>19000</v>
      </c>
      <c r="G233" s="4">
        <v>17189</v>
      </c>
      <c r="H233" s="7">
        <f t="shared" si="9"/>
        <v>-1811</v>
      </c>
      <c r="I233" s="9">
        <f t="shared" si="10"/>
        <v>-9.5315789473684215E-2</v>
      </c>
      <c r="J233" t="str">
        <f t="shared" si="11"/>
        <v>Favourable</v>
      </c>
    </row>
    <row r="234" spans="1:10" x14ac:dyDescent="0.5">
      <c r="A234" t="s">
        <v>10</v>
      </c>
      <c r="B234" t="str">
        <f>CHOOSE(MATCH(A234,{"Jan","Feb","Mar","Apr","May","Jun","Jul","Aug","Sep","Oct","Nov","Dec"},0), "Q1","Q1","Q1", "Q2","Q2","Q2", "Q3","Q3","Q3", "Q4","Q4","Q4")</f>
        <v>Q2</v>
      </c>
      <c r="C234" t="s">
        <v>23</v>
      </c>
      <c r="D234" t="s">
        <v>38</v>
      </c>
      <c r="E234" t="s">
        <v>33</v>
      </c>
      <c r="F234" s="4">
        <v>20000</v>
      </c>
      <c r="G234" s="4">
        <v>19929</v>
      </c>
      <c r="H234" s="7">
        <f t="shared" si="9"/>
        <v>-71</v>
      </c>
      <c r="I234" s="9">
        <f t="shared" si="10"/>
        <v>-3.5500000000000002E-3</v>
      </c>
      <c r="J234" t="str">
        <f t="shared" si="11"/>
        <v>Favourable</v>
      </c>
    </row>
    <row r="235" spans="1:10" x14ac:dyDescent="0.5">
      <c r="A235" t="s">
        <v>11</v>
      </c>
      <c r="B235" t="str">
        <f>CHOOSE(MATCH(A235,{"Jan","Feb","Mar","Apr","May","Jun","Jul","Aug","Sep","Oct","Nov","Dec"},0), "Q1","Q1","Q1", "Q2","Q2","Q2", "Q3","Q3","Q3", "Q4","Q4","Q4")</f>
        <v>Q2</v>
      </c>
      <c r="C235" t="s">
        <v>23</v>
      </c>
      <c r="D235" t="s">
        <v>38</v>
      </c>
      <c r="E235" t="s">
        <v>33</v>
      </c>
      <c r="F235" s="4">
        <v>20400</v>
      </c>
      <c r="G235" s="4">
        <v>20295</v>
      </c>
      <c r="H235" s="7">
        <f t="shared" si="9"/>
        <v>-105</v>
      </c>
      <c r="I235" s="9">
        <f t="shared" si="10"/>
        <v>-5.1470588235294117E-3</v>
      </c>
      <c r="J235" t="str">
        <f t="shared" si="11"/>
        <v>Favourable</v>
      </c>
    </row>
    <row r="236" spans="1:10" x14ac:dyDescent="0.5">
      <c r="A236" t="s">
        <v>12</v>
      </c>
      <c r="B236" t="str">
        <f>CHOOSE(MATCH(A236,{"Jan","Feb","Mar","Apr","May","Jun","Jul","Aug","Sep","Oct","Nov","Dec"},0), "Q1","Q1","Q1", "Q2","Q2","Q2", "Q3","Q3","Q3", "Q4","Q4","Q4")</f>
        <v>Q3</v>
      </c>
      <c r="C236" t="s">
        <v>23</v>
      </c>
      <c r="D236" t="s">
        <v>38</v>
      </c>
      <c r="E236" t="s">
        <v>33</v>
      </c>
      <c r="F236" s="4">
        <v>17600</v>
      </c>
      <c r="G236" s="4">
        <v>17904</v>
      </c>
      <c r="H236" s="7">
        <f t="shared" si="9"/>
        <v>304</v>
      </c>
      <c r="I236" s="9">
        <f t="shared" si="10"/>
        <v>1.7272727272727273E-2</v>
      </c>
      <c r="J236" t="str">
        <f t="shared" si="11"/>
        <v>Unfavourable</v>
      </c>
    </row>
    <row r="237" spans="1:10" x14ac:dyDescent="0.5">
      <c r="A237" t="s">
        <v>13</v>
      </c>
      <c r="B237" t="str">
        <f>CHOOSE(MATCH(A237,{"Jan","Feb","Mar","Apr","May","Jun","Jul","Aug","Sep","Oct","Nov","Dec"},0), "Q1","Q1","Q1", "Q2","Q2","Q2", "Q3","Q3","Q3", "Q4","Q4","Q4")</f>
        <v>Q3</v>
      </c>
      <c r="C237" t="s">
        <v>23</v>
      </c>
      <c r="D237" t="s">
        <v>38</v>
      </c>
      <c r="E237" t="s">
        <v>33</v>
      </c>
      <c r="F237" s="4">
        <v>17000</v>
      </c>
      <c r="G237" s="4">
        <v>16346</v>
      </c>
      <c r="H237" s="7">
        <f t="shared" si="9"/>
        <v>-654</v>
      </c>
      <c r="I237" s="9">
        <f t="shared" si="10"/>
        <v>-3.8470588235294118E-2</v>
      </c>
      <c r="J237" t="str">
        <f t="shared" si="11"/>
        <v>Favourable</v>
      </c>
    </row>
    <row r="238" spans="1:10" x14ac:dyDescent="0.5">
      <c r="A238" t="s">
        <v>14</v>
      </c>
      <c r="B238" t="str">
        <f>CHOOSE(MATCH(A238,{"Jan","Feb","Mar","Apr","May","Jun","Jul","Aug","Sep","Oct","Nov","Dec"},0), "Q1","Q1","Q1", "Q2","Q2","Q2", "Q3","Q3","Q3", "Q4","Q4","Q4")</f>
        <v>Q3</v>
      </c>
      <c r="C238" t="s">
        <v>23</v>
      </c>
      <c r="D238" t="s">
        <v>38</v>
      </c>
      <c r="E238" t="s">
        <v>33</v>
      </c>
      <c r="F238" s="4">
        <v>20000</v>
      </c>
      <c r="G238" s="4">
        <v>18776</v>
      </c>
      <c r="H238" s="7">
        <f t="shared" si="9"/>
        <v>-1224</v>
      </c>
      <c r="I238" s="9">
        <f t="shared" si="10"/>
        <v>-6.1199999999999997E-2</v>
      </c>
      <c r="J238" t="str">
        <f t="shared" si="11"/>
        <v>Favourable</v>
      </c>
    </row>
    <row r="239" spans="1:10" x14ac:dyDescent="0.5">
      <c r="A239" t="s">
        <v>15</v>
      </c>
      <c r="B239" t="str">
        <f>CHOOSE(MATCH(A239,{"Jan","Feb","Mar","Apr","May","Jun","Jul","Aug","Sep","Oct","Nov","Dec"},0), "Q1","Q1","Q1", "Q2","Q2","Q2", "Q3","Q3","Q3", "Q4","Q4","Q4")</f>
        <v>Q4</v>
      </c>
      <c r="C239" t="s">
        <v>23</v>
      </c>
      <c r="D239" t="s">
        <v>38</v>
      </c>
      <c r="E239" t="s">
        <v>33</v>
      </c>
      <c r="F239" s="4">
        <v>21000</v>
      </c>
      <c r="G239" s="4">
        <v>18876</v>
      </c>
      <c r="H239" s="7">
        <f t="shared" si="9"/>
        <v>-2124</v>
      </c>
      <c r="I239" s="9">
        <f t="shared" si="10"/>
        <v>-0.10114285714285715</v>
      </c>
      <c r="J239" t="str">
        <f t="shared" si="11"/>
        <v>Favourable</v>
      </c>
    </row>
    <row r="240" spans="1:10" x14ac:dyDescent="0.5">
      <c r="A240" t="s">
        <v>16</v>
      </c>
      <c r="B240" t="str">
        <f>CHOOSE(MATCH(A240,{"Jan","Feb","Mar","Apr","May","Jun","Jul","Aug","Sep","Oct","Nov","Dec"},0), "Q1","Q1","Q1", "Q2","Q2","Q2", "Q3","Q3","Q3", "Q4","Q4","Q4")</f>
        <v>Q4</v>
      </c>
      <c r="C240" t="s">
        <v>23</v>
      </c>
      <c r="D240" t="s">
        <v>38</v>
      </c>
      <c r="E240" t="s">
        <v>33</v>
      </c>
      <c r="F240" s="4">
        <v>21600</v>
      </c>
      <c r="G240" s="4">
        <v>21956</v>
      </c>
      <c r="H240" s="7">
        <f t="shared" si="9"/>
        <v>356</v>
      </c>
      <c r="I240" s="9">
        <f t="shared" si="10"/>
        <v>1.6481481481481482E-2</v>
      </c>
      <c r="J240" t="str">
        <f t="shared" si="11"/>
        <v>Unfavourable</v>
      </c>
    </row>
    <row r="241" spans="1:10" x14ac:dyDescent="0.5">
      <c r="A241" t="s">
        <v>17</v>
      </c>
      <c r="B241" t="str">
        <f>CHOOSE(MATCH(A241,{"Jan","Feb","Mar","Apr","May","Jun","Jul","Aug","Sep","Oct","Nov","Dec"},0), "Q1","Q1","Q1", "Q2","Q2","Q2", "Q3","Q3","Q3", "Q4","Q4","Q4")</f>
        <v>Q4</v>
      </c>
      <c r="C241" t="s">
        <v>23</v>
      </c>
      <c r="D241" t="s">
        <v>38</v>
      </c>
      <c r="E241" t="s">
        <v>33</v>
      </c>
      <c r="F241" s="4">
        <v>31600</v>
      </c>
      <c r="G241" s="4">
        <v>32185</v>
      </c>
      <c r="H241" s="7">
        <f t="shared" si="9"/>
        <v>585</v>
      </c>
      <c r="I241" s="9">
        <f t="shared" si="10"/>
        <v>1.8512658227848103E-2</v>
      </c>
      <c r="J241" t="str">
        <f t="shared" si="11"/>
        <v>Unfavourable</v>
      </c>
    </row>
    <row r="242" spans="1:10" x14ac:dyDescent="0.5">
      <c r="A242" t="s">
        <v>4</v>
      </c>
      <c r="B242" t="str">
        <f>CHOOSE(MATCH(A242,{"Jan","Feb","Mar","Apr","May","Jun","Jul","Aug","Sep","Oct","Nov","Dec"},0), "Q1","Q1","Q1", "Q2","Q2","Q2", "Q3","Q3","Q3", "Q4","Q4","Q4")</f>
        <v>Q1</v>
      </c>
      <c r="C242" t="s">
        <v>23</v>
      </c>
      <c r="D242" t="s">
        <v>39</v>
      </c>
      <c r="E242" t="s">
        <v>33</v>
      </c>
      <c r="F242" s="4">
        <v>10625</v>
      </c>
      <c r="G242" s="4">
        <v>11153</v>
      </c>
      <c r="H242" s="7">
        <f t="shared" si="9"/>
        <v>528</v>
      </c>
      <c r="I242" s="9">
        <f t="shared" si="10"/>
        <v>4.9694117647058826E-2</v>
      </c>
      <c r="J242" t="str">
        <f t="shared" si="11"/>
        <v>Unfavourable</v>
      </c>
    </row>
    <row r="243" spans="1:10" x14ac:dyDescent="0.5">
      <c r="A243" t="s">
        <v>7</v>
      </c>
      <c r="B243" t="str">
        <f>CHOOSE(MATCH(A243,{"Jan","Feb","Mar","Apr","May","Jun","Jul","Aug","Sep","Oct","Nov","Dec"},0), "Q1","Q1","Q1", "Q2","Q2","Q2", "Q3","Q3","Q3", "Q4","Q4","Q4")</f>
        <v>Q1</v>
      </c>
      <c r="C243" t="s">
        <v>23</v>
      </c>
      <c r="D243" t="s">
        <v>39</v>
      </c>
      <c r="E243" t="s">
        <v>33</v>
      </c>
      <c r="F243" s="4">
        <v>10250</v>
      </c>
      <c r="G243" s="4">
        <v>10655</v>
      </c>
      <c r="H243" s="7">
        <f t="shared" si="9"/>
        <v>405</v>
      </c>
      <c r="I243" s="9">
        <f t="shared" si="10"/>
        <v>3.951219512195122E-2</v>
      </c>
      <c r="J243" t="str">
        <f t="shared" si="11"/>
        <v>Unfavourable</v>
      </c>
    </row>
    <row r="244" spans="1:10" x14ac:dyDescent="0.5">
      <c r="A244" t="s">
        <v>8</v>
      </c>
      <c r="B244" t="str">
        <f>CHOOSE(MATCH(A244,{"Jan","Feb","Mar","Apr","May","Jun","Jul","Aug","Sep","Oct","Nov","Dec"},0), "Q1","Q1","Q1", "Q2","Q2","Q2", "Q3","Q3","Q3", "Q4","Q4","Q4")</f>
        <v>Q1</v>
      </c>
      <c r="C244" t="s">
        <v>23</v>
      </c>
      <c r="D244" t="s">
        <v>39</v>
      </c>
      <c r="E244" t="s">
        <v>33</v>
      </c>
      <c r="F244" s="4">
        <v>11500</v>
      </c>
      <c r="G244" s="4">
        <v>11390</v>
      </c>
      <c r="H244" s="7">
        <f t="shared" si="9"/>
        <v>-110</v>
      </c>
      <c r="I244" s="9">
        <f t="shared" si="10"/>
        <v>-9.5652173913043474E-3</v>
      </c>
      <c r="J244" t="str">
        <f t="shared" si="11"/>
        <v>Favourable</v>
      </c>
    </row>
    <row r="245" spans="1:10" x14ac:dyDescent="0.5">
      <c r="A245" t="s">
        <v>9</v>
      </c>
      <c r="B245" t="str">
        <f>CHOOSE(MATCH(A245,{"Jan","Feb","Mar","Apr","May","Jun","Jul","Aug","Sep","Oct","Nov","Dec"},0), "Q1","Q1","Q1", "Q2","Q2","Q2", "Q3","Q3","Q3", "Q4","Q4","Q4")</f>
        <v>Q2</v>
      </c>
      <c r="C245" t="s">
        <v>23</v>
      </c>
      <c r="D245" t="s">
        <v>39</v>
      </c>
      <c r="E245" t="s">
        <v>33</v>
      </c>
      <c r="F245" s="4">
        <v>11875</v>
      </c>
      <c r="G245" s="4">
        <v>12676</v>
      </c>
      <c r="H245" s="7">
        <f t="shared" si="9"/>
        <v>801</v>
      </c>
      <c r="I245" s="9">
        <f t="shared" si="10"/>
        <v>6.7452631578947375E-2</v>
      </c>
      <c r="J245" t="str">
        <f t="shared" si="11"/>
        <v>Unfavourable</v>
      </c>
    </row>
    <row r="246" spans="1:10" x14ac:dyDescent="0.5">
      <c r="A246" t="s">
        <v>10</v>
      </c>
      <c r="B246" t="str">
        <f>CHOOSE(MATCH(A246,{"Jan","Feb","Mar","Apr","May","Jun","Jul","Aug","Sep","Oct","Nov","Dec"},0), "Q1","Q1","Q1", "Q2","Q2","Q2", "Q3","Q3","Q3", "Q4","Q4","Q4")</f>
        <v>Q2</v>
      </c>
      <c r="C246" t="s">
        <v>23</v>
      </c>
      <c r="D246" t="s">
        <v>39</v>
      </c>
      <c r="E246" t="s">
        <v>33</v>
      </c>
      <c r="F246" s="4">
        <v>12500</v>
      </c>
      <c r="G246" s="4">
        <v>12415</v>
      </c>
      <c r="H246" s="7">
        <f t="shared" si="9"/>
        <v>-85</v>
      </c>
      <c r="I246" s="9">
        <f t="shared" si="10"/>
        <v>-6.7999999999999996E-3</v>
      </c>
      <c r="J246" t="str">
        <f t="shared" si="11"/>
        <v>Favourable</v>
      </c>
    </row>
    <row r="247" spans="1:10" x14ac:dyDescent="0.5">
      <c r="A247" t="s">
        <v>11</v>
      </c>
      <c r="B247" t="str">
        <f>CHOOSE(MATCH(A247,{"Jan","Feb","Mar","Apr","May","Jun","Jul","Aug","Sep","Oct","Nov","Dec"},0), "Q1","Q1","Q1", "Q2","Q2","Q2", "Q3","Q3","Q3", "Q4","Q4","Q4")</f>
        <v>Q2</v>
      </c>
      <c r="C247" t="s">
        <v>23</v>
      </c>
      <c r="D247" t="s">
        <v>39</v>
      </c>
      <c r="E247" t="s">
        <v>33</v>
      </c>
      <c r="F247" s="4">
        <v>12750</v>
      </c>
      <c r="G247" s="4">
        <v>12329</v>
      </c>
      <c r="H247" s="7">
        <f t="shared" si="9"/>
        <v>-421</v>
      </c>
      <c r="I247" s="9">
        <f t="shared" si="10"/>
        <v>-3.3019607843137254E-2</v>
      </c>
      <c r="J247" t="str">
        <f t="shared" si="11"/>
        <v>Favourable</v>
      </c>
    </row>
    <row r="248" spans="1:10" x14ac:dyDescent="0.5">
      <c r="A248" t="s">
        <v>12</v>
      </c>
      <c r="B248" t="str">
        <f>CHOOSE(MATCH(A248,{"Jan","Feb","Mar","Apr","May","Jun","Jul","Aug","Sep","Oct","Nov","Dec"},0), "Q1","Q1","Q1", "Q2","Q2","Q2", "Q3","Q3","Q3", "Q4","Q4","Q4")</f>
        <v>Q3</v>
      </c>
      <c r="C248" t="s">
        <v>23</v>
      </c>
      <c r="D248" t="s">
        <v>39</v>
      </c>
      <c r="E248" t="s">
        <v>33</v>
      </c>
      <c r="F248" s="4">
        <v>11000</v>
      </c>
      <c r="G248" s="4">
        <v>10714</v>
      </c>
      <c r="H248" s="7">
        <f t="shared" si="9"/>
        <v>-286</v>
      </c>
      <c r="I248" s="9">
        <f t="shared" si="10"/>
        <v>-2.5999999999999999E-2</v>
      </c>
      <c r="J248" t="str">
        <f t="shared" si="11"/>
        <v>Favourable</v>
      </c>
    </row>
    <row r="249" spans="1:10" x14ac:dyDescent="0.5">
      <c r="A249" t="s">
        <v>13</v>
      </c>
      <c r="B249" t="str">
        <f>CHOOSE(MATCH(A249,{"Jan","Feb","Mar","Apr","May","Jun","Jul","Aug","Sep","Oct","Nov","Dec"},0), "Q1","Q1","Q1", "Q2","Q2","Q2", "Q3","Q3","Q3", "Q4","Q4","Q4")</f>
        <v>Q3</v>
      </c>
      <c r="C249" t="s">
        <v>23</v>
      </c>
      <c r="D249" t="s">
        <v>39</v>
      </c>
      <c r="E249" t="s">
        <v>33</v>
      </c>
      <c r="F249" s="4">
        <v>10625</v>
      </c>
      <c r="G249" s="4">
        <v>10314</v>
      </c>
      <c r="H249" s="7">
        <f t="shared" si="9"/>
        <v>-311</v>
      </c>
      <c r="I249" s="9">
        <f t="shared" si="10"/>
        <v>-2.9270588235294118E-2</v>
      </c>
      <c r="J249" t="str">
        <f t="shared" si="11"/>
        <v>Favourable</v>
      </c>
    </row>
    <row r="250" spans="1:10" x14ac:dyDescent="0.5">
      <c r="A250" t="s">
        <v>14</v>
      </c>
      <c r="B250" t="str">
        <f>CHOOSE(MATCH(A250,{"Jan","Feb","Mar","Apr","May","Jun","Jul","Aug","Sep","Oct","Nov","Dec"},0), "Q1","Q1","Q1", "Q2","Q2","Q2", "Q3","Q3","Q3", "Q4","Q4","Q4")</f>
        <v>Q3</v>
      </c>
      <c r="C250" t="s">
        <v>23</v>
      </c>
      <c r="D250" t="s">
        <v>39</v>
      </c>
      <c r="E250" t="s">
        <v>33</v>
      </c>
      <c r="F250" s="4">
        <v>12500</v>
      </c>
      <c r="G250" s="4">
        <v>11146</v>
      </c>
      <c r="H250" s="7">
        <f t="shared" si="9"/>
        <v>-1354</v>
      </c>
      <c r="I250" s="9">
        <f t="shared" si="10"/>
        <v>-0.10832</v>
      </c>
      <c r="J250" t="str">
        <f t="shared" si="11"/>
        <v>Favourable</v>
      </c>
    </row>
    <row r="251" spans="1:10" x14ac:dyDescent="0.5">
      <c r="A251" t="s">
        <v>15</v>
      </c>
      <c r="B251" t="str">
        <f>CHOOSE(MATCH(A251,{"Jan","Feb","Mar","Apr","May","Jun","Jul","Aug","Sep","Oct","Nov","Dec"},0), "Q1","Q1","Q1", "Q2","Q2","Q2", "Q3","Q3","Q3", "Q4","Q4","Q4")</f>
        <v>Q4</v>
      </c>
      <c r="C251" t="s">
        <v>23</v>
      </c>
      <c r="D251" t="s">
        <v>39</v>
      </c>
      <c r="E251" t="s">
        <v>33</v>
      </c>
      <c r="F251" s="4">
        <v>13125</v>
      </c>
      <c r="G251" s="4">
        <v>13228</v>
      </c>
      <c r="H251" s="7">
        <f t="shared" si="9"/>
        <v>103</v>
      </c>
      <c r="I251" s="9">
        <f t="shared" si="10"/>
        <v>7.8476190476190477E-3</v>
      </c>
      <c r="J251" t="str">
        <f t="shared" si="11"/>
        <v>Unfavourable</v>
      </c>
    </row>
    <row r="252" spans="1:10" x14ac:dyDescent="0.5">
      <c r="A252" t="s">
        <v>16</v>
      </c>
      <c r="B252" t="str">
        <f>CHOOSE(MATCH(A252,{"Jan","Feb","Mar","Apr","May","Jun","Jul","Aug","Sep","Oct","Nov","Dec"},0), "Q1","Q1","Q1", "Q2","Q2","Q2", "Q3","Q3","Q3", "Q4","Q4","Q4")</f>
        <v>Q4</v>
      </c>
      <c r="C252" t="s">
        <v>23</v>
      </c>
      <c r="D252" t="s">
        <v>39</v>
      </c>
      <c r="E252" t="s">
        <v>33</v>
      </c>
      <c r="F252" s="4">
        <v>13500</v>
      </c>
      <c r="G252" s="4">
        <v>13669</v>
      </c>
      <c r="H252" s="7">
        <f t="shared" si="9"/>
        <v>169</v>
      </c>
      <c r="I252" s="9">
        <f t="shared" si="10"/>
        <v>1.2518518518518519E-2</v>
      </c>
      <c r="J252" t="str">
        <f t="shared" si="11"/>
        <v>Unfavourable</v>
      </c>
    </row>
    <row r="253" spans="1:10" x14ac:dyDescent="0.5">
      <c r="A253" t="s">
        <v>17</v>
      </c>
      <c r="B253" t="str">
        <f>CHOOSE(MATCH(A253,{"Jan","Feb","Mar","Apr","May","Jun","Jul","Aug","Sep","Oct","Nov","Dec"},0), "Q1","Q1","Q1", "Q2","Q2","Q2", "Q3","Q3","Q3", "Q4","Q4","Q4")</f>
        <v>Q4</v>
      </c>
      <c r="C253" t="s">
        <v>23</v>
      </c>
      <c r="D253" t="s">
        <v>39</v>
      </c>
      <c r="E253" t="s">
        <v>33</v>
      </c>
      <c r="F253" s="4">
        <v>19750</v>
      </c>
      <c r="G253" s="4">
        <v>19392</v>
      </c>
      <c r="H253" s="7">
        <f t="shared" si="9"/>
        <v>-358</v>
      </c>
      <c r="I253" s="9">
        <f t="shared" si="10"/>
        <v>-1.8126582278481011E-2</v>
      </c>
      <c r="J253" t="str">
        <f t="shared" si="11"/>
        <v>Favourable</v>
      </c>
    </row>
    <row r="254" spans="1:10" x14ac:dyDescent="0.5">
      <c r="A254" t="s">
        <v>4</v>
      </c>
      <c r="B254" t="str">
        <f>CHOOSE(MATCH(A254,{"Jan","Feb","Mar","Apr","May","Jun","Jul","Aug","Sep","Oct","Nov","Dec"},0), "Q1","Q1","Q1", "Q2","Q2","Q2", "Q3","Q3","Q3", "Q4","Q4","Q4")</f>
        <v>Q1</v>
      </c>
      <c r="C254" t="s">
        <v>23</v>
      </c>
      <c r="D254" t="s">
        <v>32</v>
      </c>
      <c r="E254" t="s">
        <v>33</v>
      </c>
      <c r="F254" s="4">
        <v>2479</v>
      </c>
      <c r="G254" s="4">
        <v>2590</v>
      </c>
      <c r="H254" s="7">
        <f t="shared" si="9"/>
        <v>111</v>
      </c>
      <c r="I254" s="9">
        <f t="shared" si="10"/>
        <v>4.4776119402985072E-2</v>
      </c>
      <c r="J254" t="str">
        <f t="shared" si="11"/>
        <v>Unfavourable</v>
      </c>
    </row>
    <row r="255" spans="1:10" x14ac:dyDescent="0.5">
      <c r="A255" t="s">
        <v>7</v>
      </c>
      <c r="B255" t="str">
        <f>CHOOSE(MATCH(A255,{"Jan","Feb","Mar","Apr","May","Jun","Jul","Aug","Sep","Oct","Nov","Dec"},0), "Q1","Q1","Q1", "Q2","Q2","Q2", "Q3","Q3","Q3", "Q4","Q4","Q4")</f>
        <v>Q1</v>
      </c>
      <c r="C255" t="s">
        <v>23</v>
      </c>
      <c r="D255" t="s">
        <v>32</v>
      </c>
      <c r="E255" t="s">
        <v>33</v>
      </c>
      <c r="F255" s="4">
        <v>2392</v>
      </c>
      <c r="G255" s="4">
        <v>2403</v>
      </c>
      <c r="H255" s="7">
        <f t="shared" si="9"/>
        <v>11</v>
      </c>
      <c r="I255" s="9">
        <f t="shared" si="10"/>
        <v>4.5986622073578599E-3</v>
      </c>
      <c r="J255" t="str">
        <f t="shared" si="11"/>
        <v>Unfavourable</v>
      </c>
    </row>
    <row r="256" spans="1:10" x14ac:dyDescent="0.5">
      <c r="A256" t="s">
        <v>8</v>
      </c>
      <c r="B256" t="str">
        <f>CHOOSE(MATCH(A256,{"Jan","Feb","Mar","Apr","May","Jun","Jul","Aug","Sep","Oct","Nov","Dec"},0), "Q1","Q1","Q1", "Q2","Q2","Q2", "Q3","Q3","Q3", "Q4","Q4","Q4")</f>
        <v>Q1</v>
      </c>
      <c r="C256" t="s">
        <v>23</v>
      </c>
      <c r="D256" t="s">
        <v>32</v>
      </c>
      <c r="E256" t="s">
        <v>33</v>
      </c>
      <c r="F256" s="4">
        <v>2683</v>
      </c>
      <c r="G256" s="4">
        <v>2493</v>
      </c>
      <c r="H256" s="7">
        <f t="shared" si="9"/>
        <v>-190</v>
      </c>
      <c r="I256" s="9">
        <f t="shared" si="10"/>
        <v>-7.0816250465896388E-2</v>
      </c>
      <c r="J256" t="str">
        <f t="shared" si="11"/>
        <v>Favourable</v>
      </c>
    </row>
    <row r="257" spans="1:10" x14ac:dyDescent="0.5">
      <c r="A257" t="s">
        <v>9</v>
      </c>
      <c r="B257" t="str">
        <f>CHOOSE(MATCH(A257,{"Jan","Feb","Mar","Apr","May","Jun","Jul","Aug","Sep","Oct","Nov","Dec"},0), "Q1","Q1","Q1", "Q2","Q2","Q2", "Q3","Q3","Q3", "Q4","Q4","Q4")</f>
        <v>Q2</v>
      </c>
      <c r="C257" t="s">
        <v>23</v>
      </c>
      <c r="D257" t="s">
        <v>32</v>
      </c>
      <c r="E257" t="s">
        <v>33</v>
      </c>
      <c r="F257" s="4">
        <v>2771</v>
      </c>
      <c r="G257" s="4">
        <v>2350</v>
      </c>
      <c r="H257" s="7">
        <f t="shared" si="9"/>
        <v>-421</v>
      </c>
      <c r="I257" s="9">
        <f t="shared" si="10"/>
        <v>-0.15193071093468061</v>
      </c>
      <c r="J257" t="str">
        <f t="shared" si="11"/>
        <v>Favourable</v>
      </c>
    </row>
    <row r="258" spans="1:10" x14ac:dyDescent="0.5">
      <c r="A258" t="s">
        <v>10</v>
      </c>
      <c r="B258" t="str">
        <f>CHOOSE(MATCH(A258,{"Jan","Feb","Mar","Apr","May","Jun","Jul","Aug","Sep","Oct","Nov","Dec"},0), "Q1","Q1","Q1", "Q2","Q2","Q2", "Q3","Q3","Q3", "Q4","Q4","Q4")</f>
        <v>Q2</v>
      </c>
      <c r="C258" t="s">
        <v>23</v>
      </c>
      <c r="D258" t="s">
        <v>32</v>
      </c>
      <c r="E258" t="s">
        <v>33</v>
      </c>
      <c r="F258" s="4">
        <v>2917</v>
      </c>
      <c r="G258" s="4">
        <v>2938</v>
      </c>
      <c r="H258" s="7">
        <f t="shared" si="9"/>
        <v>21</v>
      </c>
      <c r="I258" s="9">
        <f t="shared" si="10"/>
        <v>7.1991772368872132E-3</v>
      </c>
      <c r="J258" t="str">
        <f t="shared" si="11"/>
        <v>Unfavourable</v>
      </c>
    </row>
    <row r="259" spans="1:10" x14ac:dyDescent="0.5">
      <c r="A259" t="s">
        <v>11</v>
      </c>
      <c r="B259" t="str">
        <f>CHOOSE(MATCH(A259,{"Jan","Feb","Mar","Apr","May","Jun","Jul","Aug","Sep","Oct","Nov","Dec"},0), "Q1","Q1","Q1", "Q2","Q2","Q2", "Q3","Q3","Q3", "Q4","Q4","Q4")</f>
        <v>Q2</v>
      </c>
      <c r="C259" t="s">
        <v>23</v>
      </c>
      <c r="D259" t="s">
        <v>32</v>
      </c>
      <c r="E259" t="s">
        <v>33</v>
      </c>
      <c r="F259" s="4">
        <v>2975</v>
      </c>
      <c r="G259" s="4">
        <v>3312</v>
      </c>
      <c r="H259" s="7">
        <f t="shared" ref="H259:H322" si="12">G259-F259</f>
        <v>337</v>
      </c>
      <c r="I259" s="9">
        <f t="shared" ref="I259:I322" si="13">SUM(G259-F259)/F259</f>
        <v>0.11327731092436975</v>
      </c>
      <c r="J259" t="str">
        <f t="shared" ref="J259:J322" si="14">IF(C259="Revenue",IF(G259&gt;F259,"Favourable","Unfavourable"),IF(G259&lt;F259,"Favourable","Unfavourable"))</f>
        <v>Unfavourable</v>
      </c>
    </row>
    <row r="260" spans="1:10" x14ac:dyDescent="0.5">
      <c r="A260" t="s">
        <v>12</v>
      </c>
      <c r="B260" t="str">
        <f>CHOOSE(MATCH(A260,{"Jan","Feb","Mar","Apr","May","Jun","Jul","Aug","Sep","Oct","Nov","Dec"},0), "Q1","Q1","Q1", "Q2","Q2","Q2", "Q3","Q3","Q3", "Q4","Q4","Q4")</f>
        <v>Q3</v>
      </c>
      <c r="C260" t="s">
        <v>23</v>
      </c>
      <c r="D260" t="s">
        <v>32</v>
      </c>
      <c r="E260" t="s">
        <v>33</v>
      </c>
      <c r="F260" s="4">
        <v>2567</v>
      </c>
      <c r="G260" s="4">
        <v>2347</v>
      </c>
      <c r="H260" s="7">
        <f t="shared" si="12"/>
        <v>-220</v>
      </c>
      <c r="I260" s="9">
        <f t="shared" si="13"/>
        <v>-8.5703155434359177E-2</v>
      </c>
      <c r="J260" t="str">
        <f t="shared" si="14"/>
        <v>Favourable</v>
      </c>
    </row>
    <row r="261" spans="1:10" x14ac:dyDescent="0.5">
      <c r="A261" t="s">
        <v>13</v>
      </c>
      <c r="B261" t="str">
        <f>CHOOSE(MATCH(A261,{"Jan","Feb","Mar","Apr","May","Jun","Jul","Aug","Sep","Oct","Nov","Dec"},0), "Q1","Q1","Q1", "Q2","Q2","Q2", "Q3","Q3","Q3", "Q4","Q4","Q4")</f>
        <v>Q3</v>
      </c>
      <c r="C261" t="s">
        <v>23</v>
      </c>
      <c r="D261" t="s">
        <v>32</v>
      </c>
      <c r="E261" t="s">
        <v>33</v>
      </c>
      <c r="F261" s="4">
        <v>2479</v>
      </c>
      <c r="G261" s="4">
        <v>2140</v>
      </c>
      <c r="H261" s="7">
        <f t="shared" si="12"/>
        <v>-339</v>
      </c>
      <c r="I261" s="9">
        <f t="shared" si="13"/>
        <v>-0.13674868898749495</v>
      </c>
      <c r="J261" t="str">
        <f t="shared" si="14"/>
        <v>Favourable</v>
      </c>
    </row>
    <row r="262" spans="1:10" x14ac:dyDescent="0.5">
      <c r="A262" t="s">
        <v>14</v>
      </c>
      <c r="B262" t="str">
        <f>CHOOSE(MATCH(A262,{"Jan","Feb","Mar","Apr","May","Jun","Jul","Aug","Sep","Oct","Nov","Dec"},0), "Q1","Q1","Q1", "Q2","Q2","Q2", "Q3","Q3","Q3", "Q4","Q4","Q4")</f>
        <v>Q3</v>
      </c>
      <c r="C262" t="s">
        <v>23</v>
      </c>
      <c r="D262" t="s">
        <v>32</v>
      </c>
      <c r="E262" t="s">
        <v>33</v>
      </c>
      <c r="F262" s="4">
        <v>2917</v>
      </c>
      <c r="G262" s="4">
        <v>3064</v>
      </c>
      <c r="H262" s="7">
        <f t="shared" si="12"/>
        <v>147</v>
      </c>
      <c r="I262" s="9">
        <f t="shared" si="13"/>
        <v>5.0394240658210493E-2</v>
      </c>
      <c r="J262" t="str">
        <f t="shared" si="14"/>
        <v>Unfavourable</v>
      </c>
    </row>
    <row r="263" spans="1:10" x14ac:dyDescent="0.5">
      <c r="A263" t="s">
        <v>15</v>
      </c>
      <c r="B263" t="str">
        <f>CHOOSE(MATCH(A263,{"Jan","Feb","Mar","Apr","May","Jun","Jul","Aug","Sep","Oct","Nov","Dec"},0), "Q1","Q1","Q1", "Q2","Q2","Q2", "Q3","Q3","Q3", "Q4","Q4","Q4")</f>
        <v>Q4</v>
      </c>
      <c r="C263" t="s">
        <v>23</v>
      </c>
      <c r="D263" t="s">
        <v>32</v>
      </c>
      <c r="E263" t="s">
        <v>33</v>
      </c>
      <c r="F263" s="4">
        <v>3062</v>
      </c>
      <c r="G263" s="4">
        <v>3797</v>
      </c>
      <c r="H263" s="7">
        <f t="shared" si="12"/>
        <v>735</v>
      </c>
      <c r="I263" s="9">
        <f t="shared" si="13"/>
        <v>0.24003919007184846</v>
      </c>
      <c r="J263" t="str">
        <f t="shared" si="14"/>
        <v>Unfavourable</v>
      </c>
    </row>
    <row r="264" spans="1:10" x14ac:dyDescent="0.5">
      <c r="A264" t="s">
        <v>16</v>
      </c>
      <c r="B264" t="str">
        <f>CHOOSE(MATCH(A264,{"Jan","Feb","Mar","Apr","May","Jun","Jul","Aug","Sep","Oct","Nov","Dec"},0), "Q1","Q1","Q1", "Q2","Q2","Q2", "Q3","Q3","Q3", "Q4","Q4","Q4")</f>
        <v>Q4</v>
      </c>
      <c r="C264" t="s">
        <v>23</v>
      </c>
      <c r="D264" t="s">
        <v>32</v>
      </c>
      <c r="E264" t="s">
        <v>33</v>
      </c>
      <c r="F264" s="4">
        <v>3150</v>
      </c>
      <c r="G264" s="4">
        <v>2431</v>
      </c>
      <c r="H264" s="7">
        <f t="shared" si="12"/>
        <v>-719</v>
      </c>
      <c r="I264" s="9">
        <f t="shared" si="13"/>
        <v>-0.22825396825396826</v>
      </c>
      <c r="J264" t="str">
        <f t="shared" si="14"/>
        <v>Favourable</v>
      </c>
    </row>
    <row r="265" spans="1:10" x14ac:dyDescent="0.5">
      <c r="A265" t="s">
        <v>17</v>
      </c>
      <c r="B265" t="str">
        <f>CHOOSE(MATCH(A265,{"Jan","Feb","Mar","Apr","May","Jun","Jul","Aug","Sep","Oct","Nov","Dec"},0), "Q1","Q1","Q1", "Q2","Q2","Q2", "Q3","Q3","Q3", "Q4","Q4","Q4")</f>
        <v>Q4</v>
      </c>
      <c r="C265" t="s">
        <v>23</v>
      </c>
      <c r="D265" t="s">
        <v>32</v>
      </c>
      <c r="E265" t="s">
        <v>33</v>
      </c>
      <c r="F265" s="4">
        <v>4608</v>
      </c>
      <c r="G265" s="4">
        <v>4383</v>
      </c>
      <c r="H265" s="7">
        <f t="shared" si="12"/>
        <v>-225</v>
      </c>
      <c r="I265" s="9">
        <f t="shared" si="13"/>
        <v>-4.8828125E-2</v>
      </c>
      <c r="J265" t="str">
        <f t="shared" si="14"/>
        <v>Favourable</v>
      </c>
    </row>
    <row r="266" spans="1:10" x14ac:dyDescent="0.5">
      <c r="A266" t="s">
        <v>4</v>
      </c>
      <c r="B266" t="str">
        <f>CHOOSE(MATCH(A266,{"Jan","Feb","Mar","Apr","May","Jun","Jul","Aug","Sep","Oct","Nov","Dec"},0), "Q1","Q1","Q1", "Q2","Q2","Q2", "Q3","Q3","Q3", "Q4","Q4","Q4")</f>
        <v>Q1</v>
      </c>
      <c r="C266" t="s">
        <v>23</v>
      </c>
      <c r="D266" t="s">
        <v>25</v>
      </c>
      <c r="E266" t="s">
        <v>40</v>
      </c>
      <c r="F266" s="4">
        <v>63750</v>
      </c>
      <c r="G266" s="4">
        <v>64047</v>
      </c>
      <c r="H266" s="7">
        <f t="shared" si="12"/>
        <v>297</v>
      </c>
      <c r="I266" s="9">
        <f t="shared" si="13"/>
        <v>4.6588235294117647E-3</v>
      </c>
      <c r="J266" t="str">
        <f t="shared" si="14"/>
        <v>Unfavourable</v>
      </c>
    </row>
    <row r="267" spans="1:10" x14ac:dyDescent="0.5">
      <c r="A267" t="s">
        <v>7</v>
      </c>
      <c r="B267" t="str">
        <f>CHOOSE(MATCH(A267,{"Jan","Feb","Mar","Apr","May","Jun","Jul","Aug","Sep","Oct","Nov","Dec"},0), "Q1","Q1","Q1", "Q2","Q2","Q2", "Q3","Q3","Q3", "Q4","Q4","Q4")</f>
        <v>Q1</v>
      </c>
      <c r="C267" t="s">
        <v>23</v>
      </c>
      <c r="D267" t="s">
        <v>25</v>
      </c>
      <c r="E267" t="s">
        <v>40</v>
      </c>
      <c r="F267" s="4">
        <v>61500</v>
      </c>
      <c r="G267" s="4">
        <v>60246</v>
      </c>
      <c r="H267" s="7">
        <f t="shared" si="12"/>
        <v>-1254</v>
      </c>
      <c r="I267" s="9">
        <f t="shared" si="13"/>
        <v>-2.0390243902439025E-2</v>
      </c>
      <c r="J267" t="str">
        <f t="shared" si="14"/>
        <v>Favourable</v>
      </c>
    </row>
    <row r="268" spans="1:10" x14ac:dyDescent="0.5">
      <c r="A268" t="s">
        <v>8</v>
      </c>
      <c r="B268" t="str">
        <f>CHOOSE(MATCH(A268,{"Jan","Feb","Mar","Apr","May","Jun","Jul","Aug","Sep","Oct","Nov","Dec"},0), "Q1","Q1","Q1", "Q2","Q2","Q2", "Q3","Q3","Q3", "Q4","Q4","Q4")</f>
        <v>Q1</v>
      </c>
      <c r="C268" t="s">
        <v>23</v>
      </c>
      <c r="D268" t="s">
        <v>25</v>
      </c>
      <c r="E268" t="s">
        <v>40</v>
      </c>
      <c r="F268" s="4">
        <v>69000</v>
      </c>
      <c r="G268" s="4">
        <v>69533</v>
      </c>
      <c r="H268" s="7">
        <f t="shared" si="12"/>
        <v>533</v>
      </c>
      <c r="I268" s="9">
        <f t="shared" si="13"/>
        <v>7.72463768115942E-3</v>
      </c>
      <c r="J268" t="str">
        <f t="shared" si="14"/>
        <v>Unfavourable</v>
      </c>
    </row>
    <row r="269" spans="1:10" x14ac:dyDescent="0.5">
      <c r="A269" t="s">
        <v>9</v>
      </c>
      <c r="B269" t="str">
        <f>CHOOSE(MATCH(A269,{"Jan","Feb","Mar","Apr","May","Jun","Jul","Aug","Sep","Oct","Nov","Dec"},0), "Q1","Q1","Q1", "Q2","Q2","Q2", "Q3","Q3","Q3", "Q4","Q4","Q4")</f>
        <v>Q2</v>
      </c>
      <c r="C269" t="s">
        <v>23</v>
      </c>
      <c r="D269" t="s">
        <v>25</v>
      </c>
      <c r="E269" t="s">
        <v>40</v>
      </c>
      <c r="F269" s="4">
        <v>71250</v>
      </c>
      <c r="G269" s="4">
        <v>72606</v>
      </c>
      <c r="H269" s="7">
        <f t="shared" si="12"/>
        <v>1356</v>
      </c>
      <c r="I269" s="9">
        <f t="shared" si="13"/>
        <v>1.903157894736842E-2</v>
      </c>
      <c r="J269" t="str">
        <f t="shared" si="14"/>
        <v>Unfavourable</v>
      </c>
    </row>
    <row r="270" spans="1:10" x14ac:dyDescent="0.5">
      <c r="A270" t="s">
        <v>10</v>
      </c>
      <c r="B270" t="str">
        <f>CHOOSE(MATCH(A270,{"Jan","Feb","Mar","Apr","May","Jun","Jul","Aug","Sep","Oct","Nov","Dec"},0), "Q1","Q1","Q1", "Q2","Q2","Q2", "Q3","Q3","Q3", "Q4","Q4","Q4")</f>
        <v>Q2</v>
      </c>
      <c r="C270" t="s">
        <v>23</v>
      </c>
      <c r="D270" t="s">
        <v>25</v>
      </c>
      <c r="E270" t="s">
        <v>40</v>
      </c>
      <c r="F270" s="4">
        <v>75000</v>
      </c>
      <c r="G270" s="4">
        <v>73458</v>
      </c>
      <c r="H270" s="7">
        <f t="shared" si="12"/>
        <v>-1542</v>
      </c>
      <c r="I270" s="9">
        <f t="shared" si="13"/>
        <v>-2.0559999999999998E-2</v>
      </c>
      <c r="J270" t="str">
        <f t="shared" si="14"/>
        <v>Favourable</v>
      </c>
    </row>
    <row r="271" spans="1:10" x14ac:dyDescent="0.5">
      <c r="A271" t="s">
        <v>11</v>
      </c>
      <c r="B271" t="str">
        <f>CHOOSE(MATCH(A271,{"Jan","Feb","Mar","Apr","May","Jun","Jul","Aug","Sep","Oct","Nov","Dec"},0), "Q1","Q1","Q1", "Q2","Q2","Q2", "Q3","Q3","Q3", "Q4","Q4","Q4")</f>
        <v>Q2</v>
      </c>
      <c r="C271" t="s">
        <v>23</v>
      </c>
      <c r="D271" t="s">
        <v>25</v>
      </c>
      <c r="E271" t="s">
        <v>40</v>
      </c>
      <c r="F271" s="4">
        <v>76500</v>
      </c>
      <c r="G271" s="4">
        <v>75034</v>
      </c>
      <c r="H271" s="7">
        <f t="shared" si="12"/>
        <v>-1466</v>
      </c>
      <c r="I271" s="9">
        <f t="shared" si="13"/>
        <v>-1.9163398692810456E-2</v>
      </c>
      <c r="J271" t="str">
        <f t="shared" si="14"/>
        <v>Favourable</v>
      </c>
    </row>
    <row r="272" spans="1:10" x14ac:dyDescent="0.5">
      <c r="A272" t="s">
        <v>12</v>
      </c>
      <c r="B272" t="str">
        <f>CHOOSE(MATCH(A272,{"Jan","Feb","Mar","Apr","May","Jun","Jul","Aug","Sep","Oct","Nov","Dec"},0), "Q1","Q1","Q1", "Q2","Q2","Q2", "Q3","Q3","Q3", "Q4","Q4","Q4")</f>
        <v>Q3</v>
      </c>
      <c r="C272" t="s">
        <v>23</v>
      </c>
      <c r="D272" t="s">
        <v>25</v>
      </c>
      <c r="E272" t="s">
        <v>40</v>
      </c>
      <c r="F272" s="4">
        <v>66000</v>
      </c>
      <c r="G272" s="4">
        <v>66167</v>
      </c>
      <c r="H272" s="7">
        <f t="shared" si="12"/>
        <v>167</v>
      </c>
      <c r="I272" s="9">
        <f t="shared" si="13"/>
        <v>2.5303030303030303E-3</v>
      </c>
      <c r="J272" t="str">
        <f t="shared" si="14"/>
        <v>Unfavourable</v>
      </c>
    </row>
    <row r="273" spans="1:10" x14ac:dyDescent="0.5">
      <c r="A273" t="s">
        <v>13</v>
      </c>
      <c r="B273" t="str">
        <f>CHOOSE(MATCH(A273,{"Jan","Feb","Mar","Apr","May","Jun","Jul","Aug","Sep","Oct","Nov","Dec"},0), "Q1","Q1","Q1", "Q2","Q2","Q2", "Q3","Q3","Q3", "Q4","Q4","Q4")</f>
        <v>Q3</v>
      </c>
      <c r="C273" t="s">
        <v>23</v>
      </c>
      <c r="D273" t="s">
        <v>25</v>
      </c>
      <c r="E273" t="s">
        <v>40</v>
      </c>
      <c r="F273" s="4">
        <v>63750</v>
      </c>
      <c r="G273" s="4">
        <v>65031</v>
      </c>
      <c r="H273" s="7">
        <f t="shared" si="12"/>
        <v>1281</v>
      </c>
      <c r="I273" s="9">
        <f t="shared" si="13"/>
        <v>2.0094117647058825E-2</v>
      </c>
      <c r="J273" t="str">
        <f t="shared" si="14"/>
        <v>Unfavourable</v>
      </c>
    </row>
    <row r="274" spans="1:10" x14ac:dyDescent="0.5">
      <c r="A274" t="s">
        <v>14</v>
      </c>
      <c r="B274" t="str">
        <f>CHOOSE(MATCH(A274,{"Jan","Feb","Mar","Apr","May","Jun","Jul","Aug","Sep","Oct","Nov","Dec"},0), "Q1","Q1","Q1", "Q2","Q2","Q2", "Q3","Q3","Q3", "Q4","Q4","Q4")</f>
        <v>Q3</v>
      </c>
      <c r="C274" t="s">
        <v>23</v>
      </c>
      <c r="D274" t="s">
        <v>25</v>
      </c>
      <c r="E274" t="s">
        <v>40</v>
      </c>
      <c r="F274" s="4">
        <v>75000</v>
      </c>
      <c r="G274" s="4">
        <v>73582</v>
      </c>
      <c r="H274" s="7">
        <f t="shared" si="12"/>
        <v>-1418</v>
      </c>
      <c r="I274" s="9">
        <f t="shared" si="13"/>
        <v>-1.8906666666666665E-2</v>
      </c>
      <c r="J274" t="str">
        <f t="shared" si="14"/>
        <v>Favourable</v>
      </c>
    </row>
    <row r="275" spans="1:10" x14ac:dyDescent="0.5">
      <c r="A275" t="s">
        <v>15</v>
      </c>
      <c r="B275" t="str">
        <f>CHOOSE(MATCH(A275,{"Jan","Feb","Mar","Apr","May","Jun","Jul","Aug","Sep","Oct","Nov","Dec"},0), "Q1","Q1","Q1", "Q2","Q2","Q2", "Q3","Q3","Q3", "Q4","Q4","Q4")</f>
        <v>Q4</v>
      </c>
      <c r="C275" t="s">
        <v>23</v>
      </c>
      <c r="D275" t="s">
        <v>25</v>
      </c>
      <c r="E275" t="s">
        <v>40</v>
      </c>
      <c r="F275" s="4">
        <v>78750</v>
      </c>
      <c r="G275" s="4">
        <v>78174</v>
      </c>
      <c r="H275" s="7">
        <f t="shared" si="12"/>
        <v>-576</v>
      </c>
      <c r="I275" s="9">
        <f t="shared" si="13"/>
        <v>-7.3142857142857141E-3</v>
      </c>
      <c r="J275" t="str">
        <f t="shared" si="14"/>
        <v>Favourable</v>
      </c>
    </row>
    <row r="276" spans="1:10" x14ac:dyDescent="0.5">
      <c r="A276" t="s">
        <v>16</v>
      </c>
      <c r="B276" t="str">
        <f>CHOOSE(MATCH(A276,{"Jan","Feb","Mar","Apr","May","Jun","Jul","Aug","Sep","Oct","Nov","Dec"},0), "Q1","Q1","Q1", "Q2","Q2","Q2", "Q3","Q3","Q3", "Q4","Q4","Q4")</f>
        <v>Q4</v>
      </c>
      <c r="C276" t="s">
        <v>23</v>
      </c>
      <c r="D276" t="s">
        <v>25</v>
      </c>
      <c r="E276" t="s">
        <v>40</v>
      </c>
      <c r="F276" s="4">
        <v>81000</v>
      </c>
      <c r="G276" s="4">
        <v>80623</v>
      </c>
      <c r="H276" s="7">
        <f t="shared" si="12"/>
        <v>-377</v>
      </c>
      <c r="I276" s="9">
        <f t="shared" si="13"/>
        <v>-4.6543209876543212E-3</v>
      </c>
      <c r="J276" t="str">
        <f t="shared" si="14"/>
        <v>Favourable</v>
      </c>
    </row>
    <row r="277" spans="1:10" x14ac:dyDescent="0.5">
      <c r="A277" t="s">
        <v>17</v>
      </c>
      <c r="B277" t="str">
        <f>CHOOSE(MATCH(A277,{"Jan","Feb","Mar","Apr","May","Jun","Jul","Aug","Sep","Oct","Nov","Dec"},0), "Q1","Q1","Q1", "Q2","Q2","Q2", "Q3","Q3","Q3", "Q4","Q4","Q4")</f>
        <v>Q4</v>
      </c>
      <c r="C277" t="s">
        <v>23</v>
      </c>
      <c r="D277" t="s">
        <v>25</v>
      </c>
      <c r="E277" t="s">
        <v>40</v>
      </c>
      <c r="F277" s="4">
        <v>118500</v>
      </c>
      <c r="G277" s="4">
        <v>116813</v>
      </c>
      <c r="H277" s="7">
        <f t="shared" si="12"/>
        <v>-1687</v>
      </c>
      <c r="I277" s="9">
        <f t="shared" si="13"/>
        <v>-1.4236286919831224E-2</v>
      </c>
      <c r="J277" t="str">
        <f t="shared" si="14"/>
        <v>Favourable</v>
      </c>
    </row>
    <row r="278" spans="1:10" x14ac:dyDescent="0.5">
      <c r="A278" t="s">
        <v>4</v>
      </c>
      <c r="B278" t="str">
        <f>CHOOSE(MATCH(A278,{"Jan","Feb","Mar","Apr","May","Jun","Jul","Aug","Sep","Oct","Nov","Dec"},0), "Q1","Q1","Q1", "Q2","Q2","Q2", "Q3","Q3","Q3", "Q4","Q4","Q4")</f>
        <v>Q1</v>
      </c>
      <c r="C278" t="s">
        <v>23</v>
      </c>
      <c r="D278" t="s">
        <v>41</v>
      </c>
      <c r="E278" t="s">
        <v>40</v>
      </c>
      <c r="F278" s="4">
        <v>8500</v>
      </c>
      <c r="G278" s="4">
        <v>8635</v>
      </c>
      <c r="H278" s="7">
        <f t="shared" si="12"/>
        <v>135</v>
      </c>
      <c r="I278" s="9">
        <f t="shared" si="13"/>
        <v>1.5882352941176469E-2</v>
      </c>
      <c r="J278" t="str">
        <f t="shared" si="14"/>
        <v>Unfavourable</v>
      </c>
    </row>
    <row r="279" spans="1:10" x14ac:dyDescent="0.5">
      <c r="A279" t="s">
        <v>7</v>
      </c>
      <c r="B279" t="str">
        <f>CHOOSE(MATCH(A279,{"Jan","Feb","Mar","Apr","May","Jun","Jul","Aug","Sep","Oct","Nov","Dec"},0), "Q1","Q1","Q1", "Q2","Q2","Q2", "Q3","Q3","Q3", "Q4","Q4","Q4")</f>
        <v>Q1</v>
      </c>
      <c r="C279" t="s">
        <v>23</v>
      </c>
      <c r="D279" t="s">
        <v>41</v>
      </c>
      <c r="E279" t="s">
        <v>40</v>
      </c>
      <c r="F279" s="4">
        <v>8200</v>
      </c>
      <c r="G279" s="4">
        <v>8944</v>
      </c>
      <c r="H279" s="7">
        <f t="shared" si="12"/>
        <v>744</v>
      </c>
      <c r="I279" s="9">
        <f t="shared" si="13"/>
        <v>9.0731707317073168E-2</v>
      </c>
      <c r="J279" t="str">
        <f t="shared" si="14"/>
        <v>Unfavourable</v>
      </c>
    </row>
    <row r="280" spans="1:10" x14ac:dyDescent="0.5">
      <c r="A280" t="s">
        <v>8</v>
      </c>
      <c r="B280" t="str">
        <f>CHOOSE(MATCH(A280,{"Jan","Feb","Mar","Apr","May","Jun","Jul","Aug","Sep","Oct","Nov","Dec"},0), "Q1","Q1","Q1", "Q2","Q2","Q2", "Q3","Q3","Q3", "Q4","Q4","Q4")</f>
        <v>Q1</v>
      </c>
      <c r="C280" t="s">
        <v>23</v>
      </c>
      <c r="D280" t="s">
        <v>41</v>
      </c>
      <c r="E280" t="s">
        <v>40</v>
      </c>
      <c r="F280" s="4">
        <v>9200</v>
      </c>
      <c r="G280" s="4">
        <v>8820</v>
      </c>
      <c r="H280" s="7">
        <f t="shared" si="12"/>
        <v>-380</v>
      </c>
      <c r="I280" s="9">
        <f t="shared" si="13"/>
        <v>-4.1304347826086954E-2</v>
      </c>
      <c r="J280" t="str">
        <f t="shared" si="14"/>
        <v>Favourable</v>
      </c>
    </row>
    <row r="281" spans="1:10" x14ac:dyDescent="0.5">
      <c r="A281" t="s">
        <v>9</v>
      </c>
      <c r="B281" t="str">
        <f>CHOOSE(MATCH(A281,{"Jan","Feb","Mar","Apr","May","Jun","Jul","Aug","Sep","Oct","Nov","Dec"},0), "Q1","Q1","Q1", "Q2","Q2","Q2", "Q3","Q3","Q3", "Q4","Q4","Q4")</f>
        <v>Q2</v>
      </c>
      <c r="C281" t="s">
        <v>23</v>
      </c>
      <c r="D281" t="s">
        <v>41</v>
      </c>
      <c r="E281" t="s">
        <v>40</v>
      </c>
      <c r="F281" s="4">
        <v>9500</v>
      </c>
      <c r="G281" s="4">
        <v>9600</v>
      </c>
      <c r="H281" s="7">
        <f t="shared" si="12"/>
        <v>100</v>
      </c>
      <c r="I281" s="9">
        <f t="shared" si="13"/>
        <v>1.0526315789473684E-2</v>
      </c>
      <c r="J281" t="str">
        <f t="shared" si="14"/>
        <v>Unfavourable</v>
      </c>
    </row>
    <row r="282" spans="1:10" x14ac:dyDescent="0.5">
      <c r="A282" t="s">
        <v>10</v>
      </c>
      <c r="B282" t="str">
        <f>CHOOSE(MATCH(A282,{"Jan","Feb","Mar","Apr","May","Jun","Jul","Aug","Sep","Oct","Nov","Dec"},0), "Q1","Q1","Q1", "Q2","Q2","Q2", "Q3","Q3","Q3", "Q4","Q4","Q4")</f>
        <v>Q2</v>
      </c>
      <c r="C282" t="s">
        <v>23</v>
      </c>
      <c r="D282" t="s">
        <v>41</v>
      </c>
      <c r="E282" t="s">
        <v>40</v>
      </c>
      <c r="F282" s="4">
        <v>10000</v>
      </c>
      <c r="G282" s="4">
        <v>10101</v>
      </c>
      <c r="H282" s="7">
        <f t="shared" si="12"/>
        <v>101</v>
      </c>
      <c r="I282" s="9">
        <f t="shared" si="13"/>
        <v>1.01E-2</v>
      </c>
      <c r="J282" t="str">
        <f t="shared" si="14"/>
        <v>Unfavourable</v>
      </c>
    </row>
    <row r="283" spans="1:10" x14ac:dyDescent="0.5">
      <c r="A283" t="s">
        <v>11</v>
      </c>
      <c r="B283" t="str">
        <f>CHOOSE(MATCH(A283,{"Jan","Feb","Mar","Apr","May","Jun","Jul","Aug","Sep","Oct","Nov","Dec"},0), "Q1","Q1","Q1", "Q2","Q2","Q2", "Q3","Q3","Q3", "Q4","Q4","Q4")</f>
        <v>Q2</v>
      </c>
      <c r="C283" t="s">
        <v>23</v>
      </c>
      <c r="D283" t="s">
        <v>41</v>
      </c>
      <c r="E283" t="s">
        <v>40</v>
      </c>
      <c r="F283" s="4">
        <v>10200</v>
      </c>
      <c r="G283" s="4">
        <v>9848</v>
      </c>
      <c r="H283" s="7">
        <f t="shared" si="12"/>
        <v>-352</v>
      </c>
      <c r="I283" s="9">
        <f t="shared" si="13"/>
        <v>-3.4509803921568626E-2</v>
      </c>
      <c r="J283" t="str">
        <f t="shared" si="14"/>
        <v>Favourable</v>
      </c>
    </row>
    <row r="284" spans="1:10" x14ac:dyDescent="0.5">
      <c r="A284" t="s">
        <v>12</v>
      </c>
      <c r="B284" t="str">
        <f>CHOOSE(MATCH(A284,{"Jan","Feb","Mar","Apr","May","Jun","Jul","Aug","Sep","Oct","Nov","Dec"},0), "Q1","Q1","Q1", "Q2","Q2","Q2", "Q3","Q3","Q3", "Q4","Q4","Q4")</f>
        <v>Q3</v>
      </c>
      <c r="C284" t="s">
        <v>23</v>
      </c>
      <c r="D284" t="s">
        <v>41</v>
      </c>
      <c r="E284" t="s">
        <v>40</v>
      </c>
      <c r="F284" s="4">
        <v>8800</v>
      </c>
      <c r="G284" s="4">
        <v>9085</v>
      </c>
      <c r="H284" s="7">
        <f t="shared" si="12"/>
        <v>285</v>
      </c>
      <c r="I284" s="9">
        <f t="shared" si="13"/>
        <v>3.2386363636363637E-2</v>
      </c>
      <c r="J284" t="str">
        <f t="shared" si="14"/>
        <v>Unfavourable</v>
      </c>
    </row>
    <row r="285" spans="1:10" x14ac:dyDescent="0.5">
      <c r="A285" t="s">
        <v>13</v>
      </c>
      <c r="B285" t="str">
        <f>CHOOSE(MATCH(A285,{"Jan","Feb","Mar","Apr","May","Jun","Jul","Aug","Sep","Oct","Nov","Dec"},0), "Q1","Q1","Q1", "Q2","Q2","Q2", "Q3","Q3","Q3", "Q4","Q4","Q4")</f>
        <v>Q3</v>
      </c>
      <c r="C285" t="s">
        <v>23</v>
      </c>
      <c r="D285" t="s">
        <v>41</v>
      </c>
      <c r="E285" t="s">
        <v>40</v>
      </c>
      <c r="F285" s="4">
        <v>8500</v>
      </c>
      <c r="G285" s="4">
        <v>8541</v>
      </c>
      <c r="H285" s="7">
        <f t="shared" si="12"/>
        <v>41</v>
      </c>
      <c r="I285" s="9">
        <f t="shared" si="13"/>
        <v>4.8235294117647057E-3</v>
      </c>
      <c r="J285" t="str">
        <f t="shared" si="14"/>
        <v>Unfavourable</v>
      </c>
    </row>
    <row r="286" spans="1:10" x14ac:dyDescent="0.5">
      <c r="A286" t="s">
        <v>14</v>
      </c>
      <c r="B286" t="str">
        <f>CHOOSE(MATCH(A286,{"Jan","Feb","Mar","Apr","May","Jun","Jul","Aug","Sep","Oct","Nov","Dec"},0), "Q1","Q1","Q1", "Q2","Q2","Q2", "Q3","Q3","Q3", "Q4","Q4","Q4")</f>
        <v>Q3</v>
      </c>
      <c r="C286" t="s">
        <v>23</v>
      </c>
      <c r="D286" t="s">
        <v>41</v>
      </c>
      <c r="E286" t="s">
        <v>40</v>
      </c>
      <c r="F286" s="4">
        <v>10000</v>
      </c>
      <c r="G286" s="4">
        <v>9528</v>
      </c>
      <c r="H286" s="7">
        <f t="shared" si="12"/>
        <v>-472</v>
      </c>
      <c r="I286" s="9">
        <f t="shared" si="13"/>
        <v>-4.7199999999999999E-2</v>
      </c>
      <c r="J286" t="str">
        <f t="shared" si="14"/>
        <v>Favourable</v>
      </c>
    </row>
    <row r="287" spans="1:10" x14ac:dyDescent="0.5">
      <c r="A287" t="s">
        <v>15</v>
      </c>
      <c r="B287" t="str">
        <f>CHOOSE(MATCH(A287,{"Jan","Feb","Mar","Apr","May","Jun","Jul","Aug","Sep","Oct","Nov","Dec"},0), "Q1","Q1","Q1", "Q2","Q2","Q2", "Q3","Q3","Q3", "Q4","Q4","Q4")</f>
        <v>Q4</v>
      </c>
      <c r="C287" t="s">
        <v>23</v>
      </c>
      <c r="D287" t="s">
        <v>41</v>
      </c>
      <c r="E287" t="s">
        <v>40</v>
      </c>
      <c r="F287" s="4">
        <v>10500</v>
      </c>
      <c r="G287" s="4">
        <v>11425</v>
      </c>
      <c r="H287" s="7">
        <f t="shared" si="12"/>
        <v>925</v>
      </c>
      <c r="I287" s="9">
        <f t="shared" si="13"/>
        <v>8.8095238095238101E-2</v>
      </c>
      <c r="J287" t="str">
        <f t="shared" si="14"/>
        <v>Unfavourable</v>
      </c>
    </row>
    <row r="288" spans="1:10" x14ac:dyDescent="0.5">
      <c r="A288" t="s">
        <v>16</v>
      </c>
      <c r="B288" t="str">
        <f>CHOOSE(MATCH(A288,{"Jan","Feb","Mar","Apr","May","Jun","Jul","Aug","Sep","Oct","Nov","Dec"},0), "Q1","Q1","Q1", "Q2","Q2","Q2", "Q3","Q3","Q3", "Q4","Q4","Q4")</f>
        <v>Q4</v>
      </c>
      <c r="C288" t="s">
        <v>23</v>
      </c>
      <c r="D288" t="s">
        <v>41</v>
      </c>
      <c r="E288" t="s">
        <v>40</v>
      </c>
      <c r="F288" s="4">
        <v>10800</v>
      </c>
      <c r="G288" s="4">
        <v>11227</v>
      </c>
      <c r="H288" s="7">
        <f t="shared" si="12"/>
        <v>427</v>
      </c>
      <c r="I288" s="9">
        <f t="shared" si="13"/>
        <v>3.9537037037037037E-2</v>
      </c>
      <c r="J288" t="str">
        <f t="shared" si="14"/>
        <v>Unfavourable</v>
      </c>
    </row>
    <row r="289" spans="1:10" x14ac:dyDescent="0.5">
      <c r="A289" t="s">
        <v>17</v>
      </c>
      <c r="B289" t="str">
        <f>CHOOSE(MATCH(A289,{"Jan","Feb","Mar","Apr","May","Jun","Jul","Aug","Sep","Oct","Nov","Dec"},0), "Q1","Q1","Q1", "Q2","Q2","Q2", "Q3","Q3","Q3", "Q4","Q4","Q4")</f>
        <v>Q4</v>
      </c>
      <c r="C289" t="s">
        <v>23</v>
      </c>
      <c r="D289" t="s">
        <v>41</v>
      </c>
      <c r="E289" t="s">
        <v>40</v>
      </c>
      <c r="F289" s="4">
        <v>15800</v>
      </c>
      <c r="G289" s="4">
        <v>15668</v>
      </c>
      <c r="H289" s="7">
        <f t="shared" si="12"/>
        <v>-132</v>
      </c>
      <c r="I289" s="9">
        <f t="shared" si="13"/>
        <v>-8.3544303797468359E-3</v>
      </c>
      <c r="J289" t="str">
        <f t="shared" si="14"/>
        <v>Favourable</v>
      </c>
    </row>
    <row r="290" spans="1:10" x14ac:dyDescent="0.5">
      <c r="A290" t="s">
        <v>4</v>
      </c>
      <c r="B290" t="str">
        <f>CHOOSE(MATCH(A290,{"Jan","Feb","Mar","Apr","May","Jun","Jul","Aug","Sep","Oct","Nov","Dec"},0), "Q1","Q1","Q1", "Q2","Q2","Q2", "Q3","Q3","Q3", "Q4","Q4","Q4")</f>
        <v>Q1</v>
      </c>
      <c r="C290" t="s">
        <v>23</v>
      </c>
      <c r="D290" t="s">
        <v>42</v>
      </c>
      <c r="E290" t="s">
        <v>40</v>
      </c>
      <c r="F290" s="4">
        <v>1700</v>
      </c>
      <c r="G290" s="4">
        <v>1646</v>
      </c>
      <c r="H290" s="7">
        <f t="shared" si="12"/>
        <v>-54</v>
      </c>
      <c r="I290" s="9">
        <f t="shared" si="13"/>
        <v>-3.1764705882352938E-2</v>
      </c>
      <c r="J290" t="str">
        <f t="shared" si="14"/>
        <v>Favourable</v>
      </c>
    </row>
    <row r="291" spans="1:10" x14ac:dyDescent="0.5">
      <c r="A291" t="s">
        <v>7</v>
      </c>
      <c r="B291" t="str">
        <f>CHOOSE(MATCH(A291,{"Jan","Feb","Mar","Apr","May","Jun","Jul","Aug","Sep","Oct","Nov","Dec"},0), "Q1","Q1","Q1", "Q2","Q2","Q2", "Q3","Q3","Q3", "Q4","Q4","Q4")</f>
        <v>Q1</v>
      </c>
      <c r="C291" t="s">
        <v>23</v>
      </c>
      <c r="D291" t="s">
        <v>42</v>
      </c>
      <c r="E291" t="s">
        <v>40</v>
      </c>
      <c r="F291" s="4">
        <v>1640</v>
      </c>
      <c r="G291" s="4">
        <v>1576</v>
      </c>
      <c r="H291" s="7">
        <f t="shared" si="12"/>
        <v>-64</v>
      </c>
      <c r="I291" s="9">
        <f t="shared" si="13"/>
        <v>-3.9024390243902439E-2</v>
      </c>
      <c r="J291" t="str">
        <f t="shared" si="14"/>
        <v>Favourable</v>
      </c>
    </row>
    <row r="292" spans="1:10" x14ac:dyDescent="0.5">
      <c r="A292" t="s">
        <v>8</v>
      </c>
      <c r="B292" t="str">
        <f>CHOOSE(MATCH(A292,{"Jan","Feb","Mar","Apr","May","Jun","Jul","Aug","Sep","Oct","Nov","Dec"},0), "Q1","Q1","Q1", "Q2","Q2","Q2", "Q3","Q3","Q3", "Q4","Q4","Q4")</f>
        <v>Q1</v>
      </c>
      <c r="C292" t="s">
        <v>23</v>
      </c>
      <c r="D292" t="s">
        <v>42</v>
      </c>
      <c r="E292" t="s">
        <v>40</v>
      </c>
      <c r="F292" s="4">
        <v>1840</v>
      </c>
      <c r="G292" s="4">
        <v>1953</v>
      </c>
      <c r="H292" s="7">
        <f t="shared" si="12"/>
        <v>113</v>
      </c>
      <c r="I292" s="9">
        <f t="shared" si="13"/>
        <v>6.1413043478260869E-2</v>
      </c>
      <c r="J292" t="str">
        <f t="shared" si="14"/>
        <v>Unfavourable</v>
      </c>
    </row>
    <row r="293" spans="1:10" x14ac:dyDescent="0.5">
      <c r="A293" t="s">
        <v>9</v>
      </c>
      <c r="B293" t="str">
        <f>CHOOSE(MATCH(A293,{"Jan","Feb","Mar","Apr","May","Jun","Jul","Aug","Sep","Oct","Nov","Dec"},0), "Q1","Q1","Q1", "Q2","Q2","Q2", "Q3","Q3","Q3", "Q4","Q4","Q4")</f>
        <v>Q2</v>
      </c>
      <c r="C293" t="s">
        <v>23</v>
      </c>
      <c r="D293" t="s">
        <v>42</v>
      </c>
      <c r="E293" t="s">
        <v>40</v>
      </c>
      <c r="F293" s="4">
        <v>1900</v>
      </c>
      <c r="G293" s="4">
        <v>1886</v>
      </c>
      <c r="H293" s="7">
        <f t="shared" si="12"/>
        <v>-14</v>
      </c>
      <c r="I293" s="9">
        <f t="shared" si="13"/>
        <v>-7.3684210526315788E-3</v>
      </c>
      <c r="J293" t="str">
        <f t="shared" si="14"/>
        <v>Favourable</v>
      </c>
    </row>
    <row r="294" spans="1:10" x14ac:dyDescent="0.5">
      <c r="A294" t="s">
        <v>10</v>
      </c>
      <c r="B294" t="str">
        <f>CHOOSE(MATCH(A294,{"Jan","Feb","Mar","Apr","May","Jun","Jul","Aug","Sep","Oct","Nov","Dec"},0), "Q1","Q1","Q1", "Q2","Q2","Q2", "Q3","Q3","Q3", "Q4","Q4","Q4")</f>
        <v>Q2</v>
      </c>
      <c r="C294" t="s">
        <v>23</v>
      </c>
      <c r="D294" t="s">
        <v>42</v>
      </c>
      <c r="E294" t="s">
        <v>40</v>
      </c>
      <c r="F294" s="4">
        <v>2000</v>
      </c>
      <c r="G294" s="4">
        <v>2046</v>
      </c>
      <c r="H294" s="7">
        <f t="shared" si="12"/>
        <v>46</v>
      </c>
      <c r="I294" s="9">
        <f t="shared" si="13"/>
        <v>2.3E-2</v>
      </c>
      <c r="J294" t="str">
        <f t="shared" si="14"/>
        <v>Unfavourable</v>
      </c>
    </row>
    <row r="295" spans="1:10" x14ac:dyDescent="0.5">
      <c r="A295" t="s">
        <v>11</v>
      </c>
      <c r="B295" t="str">
        <f>CHOOSE(MATCH(A295,{"Jan","Feb","Mar","Apr","May","Jun","Jul","Aug","Sep","Oct","Nov","Dec"},0), "Q1","Q1","Q1", "Q2","Q2","Q2", "Q3","Q3","Q3", "Q4","Q4","Q4")</f>
        <v>Q2</v>
      </c>
      <c r="C295" t="s">
        <v>23</v>
      </c>
      <c r="D295" t="s">
        <v>42</v>
      </c>
      <c r="E295" t="s">
        <v>40</v>
      </c>
      <c r="F295" s="4">
        <v>2040</v>
      </c>
      <c r="G295" s="4">
        <v>2021</v>
      </c>
      <c r="H295" s="7">
        <f t="shared" si="12"/>
        <v>-19</v>
      </c>
      <c r="I295" s="9">
        <f t="shared" si="13"/>
        <v>-9.3137254901960783E-3</v>
      </c>
      <c r="J295" t="str">
        <f t="shared" si="14"/>
        <v>Favourable</v>
      </c>
    </row>
    <row r="296" spans="1:10" x14ac:dyDescent="0.5">
      <c r="A296" t="s">
        <v>12</v>
      </c>
      <c r="B296" t="str">
        <f>CHOOSE(MATCH(A296,{"Jan","Feb","Mar","Apr","May","Jun","Jul","Aug","Sep","Oct","Nov","Dec"},0), "Q1","Q1","Q1", "Q2","Q2","Q2", "Q3","Q3","Q3", "Q4","Q4","Q4")</f>
        <v>Q3</v>
      </c>
      <c r="C296" t="s">
        <v>23</v>
      </c>
      <c r="D296" t="s">
        <v>42</v>
      </c>
      <c r="E296" t="s">
        <v>40</v>
      </c>
      <c r="F296" s="4">
        <v>1760</v>
      </c>
      <c r="G296" s="4">
        <v>1814</v>
      </c>
      <c r="H296" s="7">
        <f t="shared" si="12"/>
        <v>54</v>
      </c>
      <c r="I296" s="9">
        <f t="shared" si="13"/>
        <v>3.0681818181818182E-2</v>
      </c>
      <c r="J296" t="str">
        <f t="shared" si="14"/>
        <v>Unfavourable</v>
      </c>
    </row>
    <row r="297" spans="1:10" x14ac:dyDescent="0.5">
      <c r="A297" t="s">
        <v>13</v>
      </c>
      <c r="B297" t="str">
        <f>CHOOSE(MATCH(A297,{"Jan","Feb","Mar","Apr","May","Jun","Jul","Aug","Sep","Oct","Nov","Dec"},0), "Q1","Q1","Q1", "Q2","Q2","Q2", "Q3","Q3","Q3", "Q4","Q4","Q4")</f>
        <v>Q3</v>
      </c>
      <c r="C297" t="s">
        <v>23</v>
      </c>
      <c r="D297" t="s">
        <v>42</v>
      </c>
      <c r="E297" t="s">
        <v>40</v>
      </c>
      <c r="F297" s="4">
        <v>1700</v>
      </c>
      <c r="G297" s="4">
        <v>1690</v>
      </c>
      <c r="H297" s="7">
        <f t="shared" si="12"/>
        <v>-10</v>
      </c>
      <c r="I297" s="9">
        <f t="shared" si="13"/>
        <v>-5.8823529411764705E-3</v>
      </c>
      <c r="J297" t="str">
        <f t="shared" si="14"/>
        <v>Favourable</v>
      </c>
    </row>
    <row r="298" spans="1:10" x14ac:dyDescent="0.5">
      <c r="A298" t="s">
        <v>14</v>
      </c>
      <c r="B298" t="str">
        <f>CHOOSE(MATCH(A298,{"Jan","Feb","Mar","Apr","May","Jun","Jul","Aug","Sep","Oct","Nov","Dec"},0), "Q1","Q1","Q1", "Q2","Q2","Q2", "Q3","Q3","Q3", "Q4","Q4","Q4")</f>
        <v>Q3</v>
      </c>
      <c r="C298" t="s">
        <v>23</v>
      </c>
      <c r="D298" t="s">
        <v>42</v>
      </c>
      <c r="E298" t="s">
        <v>40</v>
      </c>
      <c r="F298" s="4">
        <v>2000</v>
      </c>
      <c r="G298" s="4">
        <v>2076</v>
      </c>
      <c r="H298" s="7">
        <f t="shared" si="12"/>
        <v>76</v>
      </c>
      <c r="I298" s="9">
        <f t="shared" si="13"/>
        <v>3.7999999999999999E-2</v>
      </c>
      <c r="J298" t="str">
        <f t="shared" si="14"/>
        <v>Unfavourable</v>
      </c>
    </row>
    <row r="299" spans="1:10" x14ac:dyDescent="0.5">
      <c r="A299" t="s">
        <v>15</v>
      </c>
      <c r="B299" t="str">
        <f>CHOOSE(MATCH(A299,{"Jan","Feb","Mar","Apr","May","Jun","Jul","Aug","Sep","Oct","Nov","Dec"},0), "Q1","Q1","Q1", "Q2","Q2","Q2", "Q3","Q3","Q3", "Q4","Q4","Q4")</f>
        <v>Q4</v>
      </c>
      <c r="C299" t="s">
        <v>23</v>
      </c>
      <c r="D299" t="s">
        <v>42</v>
      </c>
      <c r="E299" t="s">
        <v>40</v>
      </c>
      <c r="F299" s="4">
        <v>2100</v>
      </c>
      <c r="G299" s="4">
        <v>2081</v>
      </c>
      <c r="H299" s="7">
        <f t="shared" si="12"/>
        <v>-19</v>
      </c>
      <c r="I299" s="9">
        <f t="shared" si="13"/>
        <v>-9.0476190476190474E-3</v>
      </c>
      <c r="J299" t="str">
        <f t="shared" si="14"/>
        <v>Favourable</v>
      </c>
    </row>
    <row r="300" spans="1:10" x14ac:dyDescent="0.5">
      <c r="A300" t="s">
        <v>16</v>
      </c>
      <c r="B300" t="str">
        <f>CHOOSE(MATCH(A300,{"Jan","Feb","Mar","Apr","May","Jun","Jul","Aug","Sep","Oct","Nov","Dec"},0), "Q1","Q1","Q1", "Q2","Q2","Q2", "Q3","Q3","Q3", "Q4","Q4","Q4")</f>
        <v>Q4</v>
      </c>
      <c r="C300" t="s">
        <v>23</v>
      </c>
      <c r="D300" t="s">
        <v>42</v>
      </c>
      <c r="E300" t="s">
        <v>40</v>
      </c>
      <c r="F300" s="4">
        <v>2160</v>
      </c>
      <c r="G300" s="4">
        <v>2250</v>
      </c>
      <c r="H300" s="7">
        <f t="shared" si="12"/>
        <v>90</v>
      </c>
      <c r="I300" s="9">
        <f t="shared" si="13"/>
        <v>4.1666666666666664E-2</v>
      </c>
      <c r="J300" t="str">
        <f t="shared" si="14"/>
        <v>Unfavourable</v>
      </c>
    </row>
    <row r="301" spans="1:10" x14ac:dyDescent="0.5">
      <c r="A301" t="s">
        <v>17</v>
      </c>
      <c r="B301" t="str">
        <f>CHOOSE(MATCH(A301,{"Jan","Feb","Mar","Apr","May","Jun","Jul","Aug","Sep","Oct","Nov","Dec"},0), "Q1","Q1","Q1", "Q2","Q2","Q2", "Q3","Q3","Q3", "Q4","Q4","Q4")</f>
        <v>Q4</v>
      </c>
      <c r="C301" t="s">
        <v>23</v>
      </c>
      <c r="D301" t="s">
        <v>42</v>
      </c>
      <c r="E301" t="s">
        <v>40</v>
      </c>
      <c r="F301" s="4">
        <v>3160</v>
      </c>
      <c r="G301" s="4">
        <v>3266</v>
      </c>
      <c r="H301" s="7">
        <f t="shared" si="12"/>
        <v>106</v>
      </c>
      <c r="I301" s="9">
        <f t="shared" si="13"/>
        <v>3.3544303797468353E-2</v>
      </c>
      <c r="J301" t="str">
        <f t="shared" si="14"/>
        <v>Unfavourable</v>
      </c>
    </row>
    <row r="302" spans="1:10" x14ac:dyDescent="0.5">
      <c r="A302" t="s">
        <v>4</v>
      </c>
      <c r="B302" t="str">
        <f>CHOOSE(MATCH(A302,{"Jan","Feb","Mar","Apr","May","Jun","Jul","Aug","Sep","Oct","Nov","Dec"},0), "Q1","Q1","Q1", "Q2","Q2","Q2", "Q3","Q3","Q3", "Q4","Q4","Q4")</f>
        <v>Q1</v>
      </c>
      <c r="C302" t="s">
        <v>23</v>
      </c>
      <c r="D302" t="s">
        <v>29</v>
      </c>
      <c r="E302" t="s">
        <v>40</v>
      </c>
      <c r="F302" s="4">
        <v>4250</v>
      </c>
      <c r="G302" s="4">
        <v>4225</v>
      </c>
      <c r="H302" s="7">
        <f t="shared" si="12"/>
        <v>-25</v>
      </c>
      <c r="I302" s="9">
        <f t="shared" si="13"/>
        <v>-5.8823529411764705E-3</v>
      </c>
      <c r="J302" t="str">
        <f t="shared" si="14"/>
        <v>Favourable</v>
      </c>
    </row>
    <row r="303" spans="1:10" x14ac:dyDescent="0.5">
      <c r="A303" t="s">
        <v>7</v>
      </c>
      <c r="B303" t="str">
        <f>CHOOSE(MATCH(A303,{"Jan","Feb","Mar","Apr","May","Jun","Jul","Aug","Sep","Oct","Nov","Dec"},0), "Q1","Q1","Q1", "Q2","Q2","Q2", "Q3","Q3","Q3", "Q4","Q4","Q4")</f>
        <v>Q1</v>
      </c>
      <c r="C303" t="s">
        <v>23</v>
      </c>
      <c r="D303" t="s">
        <v>29</v>
      </c>
      <c r="E303" t="s">
        <v>40</v>
      </c>
      <c r="F303" s="4">
        <v>4100</v>
      </c>
      <c r="G303" s="4">
        <v>3924</v>
      </c>
      <c r="H303" s="7">
        <f t="shared" si="12"/>
        <v>-176</v>
      </c>
      <c r="I303" s="9">
        <f t="shared" si="13"/>
        <v>-4.2926829268292686E-2</v>
      </c>
      <c r="J303" t="str">
        <f t="shared" si="14"/>
        <v>Favourable</v>
      </c>
    </row>
    <row r="304" spans="1:10" x14ac:dyDescent="0.5">
      <c r="A304" t="s">
        <v>8</v>
      </c>
      <c r="B304" t="str">
        <f>CHOOSE(MATCH(A304,{"Jan","Feb","Mar","Apr","May","Jun","Jul","Aug","Sep","Oct","Nov","Dec"},0), "Q1","Q1","Q1", "Q2","Q2","Q2", "Q3","Q3","Q3", "Q4","Q4","Q4")</f>
        <v>Q1</v>
      </c>
      <c r="C304" t="s">
        <v>23</v>
      </c>
      <c r="D304" t="s">
        <v>29</v>
      </c>
      <c r="E304" t="s">
        <v>40</v>
      </c>
      <c r="F304" s="4">
        <v>4600</v>
      </c>
      <c r="G304" s="4">
        <v>4384</v>
      </c>
      <c r="H304" s="7">
        <f t="shared" si="12"/>
        <v>-216</v>
      </c>
      <c r="I304" s="9">
        <f t="shared" si="13"/>
        <v>-4.6956521739130432E-2</v>
      </c>
      <c r="J304" t="str">
        <f t="shared" si="14"/>
        <v>Favourable</v>
      </c>
    </row>
    <row r="305" spans="1:10" x14ac:dyDescent="0.5">
      <c r="A305" t="s">
        <v>9</v>
      </c>
      <c r="B305" t="str">
        <f>CHOOSE(MATCH(A305,{"Jan","Feb","Mar","Apr","May","Jun","Jul","Aug","Sep","Oct","Nov","Dec"},0), "Q1","Q1","Q1", "Q2","Q2","Q2", "Q3","Q3","Q3", "Q4","Q4","Q4")</f>
        <v>Q2</v>
      </c>
      <c r="C305" t="s">
        <v>23</v>
      </c>
      <c r="D305" t="s">
        <v>29</v>
      </c>
      <c r="E305" t="s">
        <v>40</v>
      </c>
      <c r="F305" s="4">
        <v>4750</v>
      </c>
      <c r="G305" s="4">
        <v>4574</v>
      </c>
      <c r="H305" s="7">
        <f t="shared" si="12"/>
        <v>-176</v>
      </c>
      <c r="I305" s="9">
        <f t="shared" si="13"/>
        <v>-3.7052631578947372E-2</v>
      </c>
      <c r="J305" t="str">
        <f t="shared" si="14"/>
        <v>Favourable</v>
      </c>
    </row>
    <row r="306" spans="1:10" x14ac:dyDescent="0.5">
      <c r="A306" t="s">
        <v>10</v>
      </c>
      <c r="B306" t="str">
        <f>CHOOSE(MATCH(A306,{"Jan","Feb","Mar","Apr","May","Jun","Jul","Aug","Sep","Oct","Nov","Dec"},0), "Q1","Q1","Q1", "Q2","Q2","Q2", "Q3","Q3","Q3", "Q4","Q4","Q4")</f>
        <v>Q2</v>
      </c>
      <c r="C306" t="s">
        <v>23</v>
      </c>
      <c r="D306" t="s">
        <v>29</v>
      </c>
      <c r="E306" t="s">
        <v>40</v>
      </c>
      <c r="F306" s="4">
        <v>5000</v>
      </c>
      <c r="G306" s="4">
        <v>4754</v>
      </c>
      <c r="H306" s="7">
        <f t="shared" si="12"/>
        <v>-246</v>
      </c>
      <c r="I306" s="9">
        <f t="shared" si="13"/>
        <v>-4.9200000000000001E-2</v>
      </c>
      <c r="J306" t="str">
        <f t="shared" si="14"/>
        <v>Favourable</v>
      </c>
    </row>
    <row r="307" spans="1:10" x14ac:dyDescent="0.5">
      <c r="A307" t="s">
        <v>11</v>
      </c>
      <c r="B307" t="str">
        <f>CHOOSE(MATCH(A307,{"Jan","Feb","Mar","Apr","May","Jun","Jul","Aug","Sep","Oct","Nov","Dec"},0), "Q1","Q1","Q1", "Q2","Q2","Q2", "Q3","Q3","Q3", "Q4","Q4","Q4")</f>
        <v>Q2</v>
      </c>
      <c r="C307" t="s">
        <v>23</v>
      </c>
      <c r="D307" t="s">
        <v>29</v>
      </c>
      <c r="E307" t="s">
        <v>40</v>
      </c>
      <c r="F307" s="4">
        <v>5100</v>
      </c>
      <c r="G307" s="4">
        <v>5321</v>
      </c>
      <c r="H307" s="7">
        <f t="shared" si="12"/>
        <v>221</v>
      </c>
      <c r="I307" s="9">
        <f t="shared" si="13"/>
        <v>4.3333333333333335E-2</v>
      </c>
      <c r="J307" t="str">
        <f t="shared" si="14"/>
        <v>Unfavourable</v>
      </c>
    </row>
    <row r="308" spans="1:10" x14ac:dyDescent="0.5">
      <c r="A308" t="s">
        <v>12</v>
      </c>
      <c r="B308" t="str">
        <f>CHOOSE(MATCH(A308,{"Jan","Feb","Mar","Apr","May","Jun","Jul","Aug","Sep","Oct","Nov","Dec"},0), "Q1","Q1","Q1", "Q2","Q2","Q2", "Q3","Q3","Q3", "Q4","Q4","Q4")</f>
        <v>Q3</v>
      </c>
      <c r="C308" t="s">
        <v>23</v>
      </c>
      <c r="D308" t="s">
        <v>29</v>
      </c>
      <c r="E308" t="s">
        <v>40</v>
      </c>
      <c r="F308" s="4">
        <v>4400</v>
      </c>
      <c r="G308" s="4">
        <v>4390</v>
      </c>
      <c r="H308" s="7">
        <f t="shared" si="12"/>
        <v>-10</v>
      </c>
      <c r="I308" s="9">
        <f t="shared" si="13"/>
        <v>-2.2727272727272726E-3</v>
      </c>
      <c r="J308" t="str">
        <f t="shared" si="14"/>
        <v>Favourable</v>
      </c>
    </row>
    <row r="309" spans="1:10" x14ac:dyDescent="0.5">
      <c r="A309" t="s">
        <v>13</v>
      </c>
      <c r="B309" t="str">
        <f>CHOOSE(MATCH(A309,{"Jan","Feb","Mar","Apr","May","Jun","Jul","Aug","Sep","Oct","Nov","Dec"},0), "Q1","Q1","Q1", "Q2","Q2","Q2", "Q3","Q3","Q3", "Q4","Q4","Q4")</f>
        <v>Q3</v>
      </c>
      <c r="C309" t="s">
        <v>23</v>
      </c>
      <c r="D309" t="s">
        <v>29</v>
      </c>
      <c r="E309" t="s">
        <v>40</v>
      </c>
      <c r="F309" s="4">
        <v>4250</v>
      </c>
      <c r="G309" s="4">
        <v>4584</v>
      </c>
      <c r="H309" s="7">
        <f t="shared" si="12"/>
        <v>334</v>
      </c>
      <c r="I309" s="9">
        <f t="shared" si="13"/>
        <v>7.8588235294117653E-2</v>
      </c>
      <c r="J309" t="str">
        <f t="shared" si="14"/>
        <v>Unfavourable</v>
      </c>
    </row>
    <row r="310" spans="1:10" x14ac:dyDescent="0.5">
      <c r="A310" t="s">
        <v>14</v>
      </c>
      <c r="B310" t="str">
        <f>CHOOSE(MATCH(A310,{"Jan","Feb","Mar","Apr","May","Jun","Jul","Aug","Sep","Oct","Nov","Dec"},0), "Q1","Q1","Q1", "Q2","Q2","Q2", "Q3","Q3","Q3", "Q4","Q4","Q4")</f>
        <v>Q3</v>
      </c>
      <c r="C310" t="s">
        <v>23</v>
      </c>
      <c r="D310" t="s">
        <v>29</v>
      </c>
      <c r="E310" t="s">
        <v>40</v>
      </c>
      <c r="F310" s="4">
        <v>5000</v>
      </c>
      <c r="G310" s="4">
        <v>5570</v>
      </c>
      <c r="H310" s="7">
        <f t="shared" si="12"/>
        <v>570</v>
      </c>
      <c r="I310" s="9">
        <f t="shared" si="13"/>
        <v>0.114</v>
      </c>
      <c r="J310" t="str">
        <f t="shared" si="14"/>
        <v>Unfavourable</v>
      </c>
    </row>
    <row r="311" spans="1:10" x14ac:dyDescent="0.5">
      <c r="A311" t="s">
        <v>15</v>
      </c>
      <c r="B311" t="str">
        <f>CHOOSE(MATCH(A311,{"Jan","Feb","Mar","Apr","May","Jun","Jul","Aug","Sep","Oct","Nov","Dec"},0), "Q1","Q1","Q1", "Q2","Q2","Q2", "Q3","Q3","Q3", "Q4","Q4","Q4")</f>
        <v>Q4</v>
      </c>
      <c r="C311" t="s">
        <v>23</v>
      </c>
      <c r="D311" t="s">
        <v>29</v>
      </c>
      <c r="E311" t="s">
        <v>40</v>
      </c>
      <c r="F311" s="4">
        <v>5250</v>
      </c>
      <c r="G311" s="4">
        <v>5256</v>
      </c>
      <c r="H311" s="7">
        <f t="shared" si="12"/>
        <v>6</v>
      </c>
      <c r="I311" s="9">
        <f t="shared" si="13"/>
        <v>1.1428571428571429E-3</v>
      </c>
      <c r="J311" t="str">
        <f t="shared" si="14"/>
        <v>Unfavourable</v>
      </c>
    </row>
    <row r="312" spans="1:10" x14ac:dyDescent="0.5">
      <c r="A312" t="s">
        <v>16</v>
      </c>
      <c r="B312" t="str">
        <f>CHOOSE(MATCH(A312,{"Jan","Feb","Mar","Apr","May","Jun","Jul","Aug","Sep","Oct","Nov","Dec"},0), "Q1","Q1","Q1", "Q2","Q2","Q2", "Q3","Q3","Q3", "Q4","Q4","Q4")</f>
        <v>Q4</v>
      </c>
      <c r="C312" t="s">
        <v>23</v>
      </c>
      <c r="D312" t="s">
        <v>29</v>
      </c>
      <c r="E312" t="s">
        <v>40</v>
      </c>
      <c r="F312" s="4">
        <v>5400</v>
      </c>
      <c r="G312" s="4">
        <v>4982</v>
      </c>
      <c r="H312" s="7">
        <f t="shared" si="12"/>
        <v>-418</v>
      </c>
      <c r="I312" s="9">
        <f t="shared" si="13"/>
        <v>-7.7407407407407411E-2</v>
      </c>
      <c r="J312" t="str">
        <f t="shared" si="14"/>
        <v>Favourable</v>
      </c>
    </row>
    <row r="313" spans="1:10" x14ac:dyDescent="0.5">
      <c r="A313" t="s">
        <v>17</v>
      </c>
      <c r="B313" t="str">
        <f>CHOOSE(MATCH(A313,{"Jan","Feb","Mar","Apr","May","Jun","Jul","Aug","Sep","Oct","Nov","Dec"},0), "Q1","Q1","Q1", "Q2","Q2","Q2", "Q3","Q3","Q3", "Q4","Q4","Q4")</f>
        <v>Q4</v>
      </c>
      <c r="C313" t="s">
        <v>23</v>
      </c>
      <c r="D313" t="s">
        <v>29</v>
      </c>
      <c r="E313" t="s">
        <v>40</v>
      </c>
      <c r="F313" s="4">
        <v>7900</v>
      </c>
      <c r="G313" s="4">
        <v>7749</v>
      </c>
      <c r="H313" s="7">
        <f t="shared" si="12"/>
        <v>-151</v>
      </c>
      <c r="I313" s="9">
        <f t="shared" si="13"/>
        <v>-1.9113924050632912E-2</v>
      </c>
      <c r="J313" t="str">
        <f t="shared" si="14"/>
        <v>Favourable</v>
      </c>
    </row>
    <row r="314" spans="1:10" x14ac:dyDescent="0.5">
      <c r="A314" t="s">
        <v>4</v>
      </c>
      <c r="B314" t="str">
        <f>CHOOSE(MATCH(A314,{"Jan","Feb","Mar","Apr","May","Jun","Jul","Aug","Sep","Oct","Nov","Dec"},0), "Q1","Q1","Q1", "Q2","Q2","Q2", "Q3","Q3","Q3", "Q4","Q4","Q4")</f>
        <v>Q1</v>
      </c>
      <c r="C314" t="s">
        <v>23</v>
      </c>
      <c r="D314" t="s">
        <v>31</v>
      </c>
      <c r="E314" t="s">
        <v>40</v>
      </c>
      <c r="F314" s="4">
        <v>1275</v>
      </c>
      <c r="G314" s="4">
        <v>1270</v>
      </c>
      <c r="H314" s="7">
        <f t="shared" si="12"/>
        <v>-5</v>
      </c>
      <c r="I314" s="9">
        <f t="shared" si="13"/>
        <v>-3.9215686274509803E-3</v>
      </c>
      <c r="J314" t="str">
        <f t="shared" si="14"/>
        <v>Favourable</v>
      </c>
    </row>
    <row r="315" spans="1:10" x14ac:dyDescent="0.5">
      <c r="A315" t="s">
        <v>7</v>
      </c>
      <c r="B315" t="str">
        <f>CHOOSE(MATCH(A315,{"Jan","Feb","Mar","Apr","May","Jun","Jul","Aug","Sep","Oct","Nov","Dec"},0), "Q1","Q1","Q1", "Q2","Q2","Q2", "Q3","Q3","Q3", "Q4","Q4","Q4")</f>
        <v>Q1</v>
      </c>
      <c r="C315" t="s">
        <v>23</v>
      </c>
      <c r="D315" t="s">
        <v>31</v>
      </c>
      <c r="E315" t="s">
        <v>40</v>
      </c>
      <c r="F315" s="4">
        <v>1230</v>
      </c>
      <c r="G315" s="4">
        <v>1138</v>
      </c>
      <c r="H315" s="7">
        <f t="shared" si="12"/>
        <v>-92</v>
      </c>
      <c r="I315" s="9">
        <f t="shared" si="13"/>
        <v>-7.4796747967479676E-2</v>
      </c>
      <c r="J315" t="str">
        <f t="shared" si="14"/>
        <v>Favourable</v>
      </c>
    </row>
    <row r="316" spans="1:10" x14ac:dyDescent="0.5">
      <c r="A316" t="s">
        <v>8</v>
      </c>
      <c r="B316" t="str">
        <f>CHOOSE(MATCH(A316,{"Jan","Feb","Mar","Apr","May","Jun","Jul","Aug","Sep","Oct","Nov","Dec"},0), "Q1","Q1","Q1", "Q2","Q2","Q2", "Q3","Q3","Q3", "Q4","Q4","Q4")</f>
        <v>Q1</v>
      </c>
      <c r="C316" t="s">
        <v>23</v>
      </c>
      <c r="D316" t="s">
        <v>31</v>
      </c>
      <c r="E316" t="s">
        <v>40</v>
      </c>
      <c r="F316" s="4">
        <v>1380</v>
      </c>
      <c r="G316" s="4">
        <v>1363</v>
      </c>
      <c r="H316" s="7">
        <f t="shared" si="12"/>
        <v>-17</v>
      </c>
      <c r="I316" s="9">
        <f t="shared" si="13"/>
        <v>-1.2318840579710146E-2</v>
      </c>
      <c r="J316" t="str">
        <f t="shared" si="14"/>
        <v>Favourable</v>
      </c>
    </row>
    <row r="317" spans="1:10" x14ac:dyDescent="0.5">
      <c r="A317" t="s">
        <v>9</v>
      </c>
      <c r="B317" t="str">
        <f>CHOOSE(MATCH(A317,{"Jan","Feb","Mar","Apr","May","Jun","Jul","Aug","Sep","Oct","Nov","Dec"},0), "Q1","Q1","Q1", "Q2","Q2","Q2", "Q3","Q3","Q3", "Q4","Q4","Q4")</f>
        <v>Q2</v>
      </c>
      <c r="C317" t="s">
        <v>23</v>
      </c>
      <c r="D317" t="s">
        <v>31</v>
      </c>
      <c r="E317" t="s">
        <v>40</v>
      </c>
      <c r="F317" s="4">
        <v>1425</v>
      </c>
      <c r="G317" s="4">
        <v>1445</v>
      </c>
      <c r="H317" s="7">
        <f t="shared" si="12"/>
        <v>20</v>
      </c>
      <c r="I317" s="9">
        <f t="shared" si="13"/>
        <v>1.4035087719298246E-2</v>
      </c>
      <c r="J317" t="str">
        <f t="shared" si="14"/>
        <v>Unfavourable</v>
      </c>
    </row>
    <row r="318" spans="1:10" x14ac:dyDescent="0.5">
      <c r="A318" t="s">
        <v>10</v>
      </c>
      <c r="B318" t="str">
        <f>CHOOSE(MATCH(A318,{"Jan","Feb","Mar","Apr","May","Jun","Jul","Aug","Sep","Oct","Nov","Dec"},0), "Q1","Q1","Q1", "Q2","Q2","Q2", "Q3","Q3","Q3", "Q4","Q4","Q4")</f>
        <v>Q2</v>
      </c>
      <c r="C318" t="s">
        <v>23</v>
      </c>
      <c r="D318" t="s">
        <v>31</v>
      </c>
      <c r="E318" t="s">
        <v>40</v>
      </c>
      <c r="F318" s="4">
        <v>1500</v>
      </c>
      <c r="G318" s="4">
        <v>1466</v>
      </c>
      <c r="H318" s="7">
        <f t="shared" si="12"/>
        <v>-34</v>
      </c>
      <c r="I318" s="9">
        <f t="shared" si="13"/>
        <v>-2.2666666666666668E-2</v>
      </c>
      <c r="J318" t="str">
        <f t="shared" si="14"/>
        <v>Favourable</v>
      </c>
    </row>
    <row r="319" spans="1:10" x14ac:dyDescent="0.5">
      <c r="A319" t="s">
        <v>11</v>
      </c>
      <c r="B319" t="str">
        <f>CHOOSE(MATCH(A319,{"Jan","Feb","Mar","Apr","May","Jun","Jul","Aug","Sep","Oct","Nov","Dec"},0), "Q1","Q1","Q1", "Q2","Q2","Q2", "Q3","Q3","Q3", "Q4","Q4","Q4")</f>
        <v>Q2</v>
      </c>
      <c r="C319" t="s">
        <v>23</v>
      </c>
      <c r="D319" t="s">
        <v>31</v>
      </c>
      <c r="E319" t="s">
        <v>40</v>
      </c>
      <c r="F319" s="4">
        <v>1530</v>
      </c>
      <c r="G319" s="4">
        <v>1471</v>
      </c>
      <c r="H319" s="7">
        <f t="shared" si="12"/>
        <v>-59</v>
      </c>
      <c r="I319" s="9">
        <f t="shared" si="13"/>
        <v>-3.8562091503267976E-2</v>
      </c>
      <c r="J319" t="str">
        <f t="shared" si="14"/>
        <v>Favourable</v>
      </c>
    </row>
    <row r="320" spans="1:10" x14ac:dyDescent="0.5">
      <c r="A320" t="s">
        <v>12</v>
      </c>
      <c r="B320" t="str">
        <f>CHOOSE(MATCH(A320,{"Jan","Feb","Mar","Apr","May","Jun","Jul","Aug","Sep","Oct","Nov","Dec"},0), "Q1","Q1","Q1", "Q2","Q2","Q2", "Q3","Q3","Q3", "Q4","Q4","Q4")</f>
        <v>Q3</v>
      </c>
      <c r="C320" t="s">
        <v>23</v>
      </c>
      <c r="D320" t="s">
        <v>31</v>
      </c>
      <c r="E320" t="s">
        <v>40</v>
      </c>
      <c r="F320" s="4">
        <v>1320</v>
      </c>
      <c r="G320" s="4">
        <v>1270</v>
      </c>
      <c r="H320" s="7">
        <f t="shared" si="12"/>
        <v>-50</v>
      </c>
      <c r="I320" s="9">
        <f t="shared" si="13"/>
        <v>-3.787878787878788E-2</v>
      </c>
      <c r="J320" t="str">
        <f t="shared" si="14"/>
        <v>Favourable</v>
      </c>
    </row>
    <row r="321" spans="1:10" x14ac:dyDescent="0.5">
      <c r="A321" t="s">
        <v>13</v>
      </c>
      <c r="B321" t="str">
        <f>CHOOSE(MATCH(A321,{"Jan","Feb","Mar","Apr","May","Jun","Jul","Aug","Sep","Oct","Nov","Dec"},0), "Q1","Q1","Q1", "Q2","Q2","Q2", "Q3","Q3","Q3", "Q4","Q4","Q4")</f>
        <v>Q3</v>
      </c>
      <c r="C321" t="s">
        <v>23</v>
      </c>
      <c r="D321" t="s">
        <v>31</v>
      </c>
      <c r="E321" t="s">
        <v>40</v>
      </c>
      <c r="F321" s="4">
        <v>1275</v>
      </c>
      <c r="G321" s="4">
        <v>1389</v>
      </c>
      <c r="H321" s="7">
        <f t="shared" si="12"/>
        <v>114</v>
      </c>
      <c r="I321" s="9">
        <f t="shared" si="13"/>
        <v>8.9411764705882357E-2</v>
      </c>
      <c r="J321" t="str">
        <f t="shared" si="14"/>
        <v>Unfavourable</v>
      </c>
    </row>
    <row r="322" spans="1:10" x14ac:dyDescent="0.5">
      <c r="A322" t="s">
        <v>14</v>
      </c>
      <c r="B322" t="str">
        <f>CHOOSE(MATCH(A322,{"Jan","Feb","Mar","Apr","May","Jun","Jul","Aug","Sep","Oct","Nov","Dec"},0), "Q1","Q1","Q1", "Q2","Q2","Q2", "Q3","Q3","Q3", "Q4","Q4","Q4")</f>
        <v>Q3</v>
      </c>
      <c r="C322" t="s">
        <v>23</v>
      </c>
      <c r="D322" t="s">
        <v>31</v>
      </c>
      <c r="E322" t="s">
        <v>40</v>
      </c>
      <c r="F322" s="4">
        <v>1500</v>
      </c>
      <c r="G322" s="4">
        <v>1488</v>
      </c>
      <c r="H322" s="7">
        <f t="shared" si="12"/>
        <v>-12</v>
      </c>
      <c r="I322" s="9">
        <f t="shared" si="13"/>
        <v>-8.0000000000000002E-3</v>
      </c>
      <c r="J322" t="str">
        <f t="shared" si="14"/>
        <v>Favourable</v>
      </c>
    </row>
    <row r="323" spans="1:10" x14ac:dyDescent="0.5">
      <c r="A323" t="s">
        <v>15</v>
      </c>
      <c r="B323" t="str">
        <f>CHOOSE(MATCH(A323,{"Jan","Feb","Mar","Apr","May","Jun","Jul","Aug","Sep","Oct","Nov","Dec"},0), "Q1","Q1","Q1", "Q2","Q2","Q2", "Q3","Q3","Q3", "Q4","Q4","Q4")</f>
        <v>Q4</v>
      </c>
      <c r="C323" t="s">
        <v>23</v>
      </c>
      <c r="D323" t="s">
        <v>31</v>
      </c>
      <c r="E323" t="s">
        <v>40</v>
      </c>
      <c r="F323" s="4">
        <v>1575</v>
      </c>
      <c r="G323" s="4">
        <v>1510</v>
      </c>
      <c r="H323" s="7">
        <f t="shared" ref="H323:H386" si="15">G323-F323</f>
        <v>-65</v>
      </c>
      <c r="I323" s="9">
        <f t="shared" ref="I323:I386" si="16">SUM(G323-F323)/F323</f>
        <v>-4.1269841269841269E-2</v>
      </c>
      <c r="J323" t="str">
        <f t="shared" ref="J323:J386" si="17">IF(C323="Revenue",IF(G323&gt;F323,"Favourable","Unfavourable"),IF(G323&lt;F323,"Favourable","Unfavourable"))</f>
        <v>Favourable</v>
      </c>
    </row>
    <row r="324" spans="1:10" x14ac:dyDescent="0.5">
      <c r="A324" t="s">
        <v>16</v>
      </c>
      <c r="B324" t="str">
        <f>CHOOSE(MATCH(A324,{"Jan","Feb","Mar","Apr","May","Jun","Jul","Aug","Sep","Oct","Nov","Dec"},0), "Q1","Q1","Q1", "Q2","Q2","Q2", "Q3","Q3","Q3", "Q4","Q4","Q4")</f>
        <v>Q4</v>
      </c>
      <c r="C324" t="s">
        <v>23</v>
      </c>
      <c r="D324" t="s">
        <v>31</v>
      </c>
      <c r="E324" t="s">
        <v>40</v>
      </c>
      <c r="F324" s="4">
        <v>1620</v>
      </c>
      <c r="G324" s="4">
        <v>1590</v>
      </c>
      <c r="H324" s="7">
        <f t="shared" si="15"/>
        <v>-30</v>
      </c>
      <c r="I324" s="9">
        <f t="shared" si="16"/>
        <v>-1.8518518518518517E-2</v>
      </c>
      <c r="J324" t="str">
        <f t="shared" si="17"/>
        <v>Favourable</v>
      </c>
    </row>
    <row r="325" spans="1:10" x14ac:dyDescent="0.5">
      <c r="A325" t="s">
        <v>17</v>
      </c>
      <c r="B325" t="str">
        <f>CHOOSE(MATCH(A325,{"Jan","Feb","Mar","Apr","May","Jun","Jul","Aug","Sep","Oct","Nov","Dec"},0), "Q1","Q1","Q1", "Q2","Q2","Q2", "Q3","Q3","Q3", "Q4","Q4","Q4")</f>
        <v>Q4</v>
      </c>
      <c r="C325" t="s">
        <v>23</v>
      </c>
      <c r="D325" t="s">
        <v>31</v>
      </c>
      <c r="E325" t="s">
        <v>40</v>
      </c>
      <c r="F325" s="4">
        <v>2370</v>
      </c>
      <c r="G325" s="4">
        <v>2483</v>
      </c>
      <c r="H325" s="7">
        <f t="shared" si="15"/>
        <v>113</v>
      </c>
      <c r="I325" s="9">
        <f t="shared" si="16"/>
        <v>4.767932489451477E-2</v>
      </c>
      <c r="J325" t="str">
        <f t="shared" si="17"/>
        <v>Unfavourable</v>
      </c>
    </row>
    <row r="326" spans="1:10" x14ac:dyDescent="0.5">
      <c r="A326" t="s">
        <v>4</v>
      </c>
      <c r="B326" t="str">
        <f>CHOOSE(MATCH(A326,{"Jan","Feb","Mar","Apr","May","Jun","Jul","Aug","Sep","Oct","Nov","Dec"},0), "Q1","Q1","Q1", "Q2","Q2","Q2", "Q3","Q3","Q3", "Q4","Q4","Q4")</f>
        <v>Q1</v>
      </c>
      <c r="C326" t="s">
        <v>23</v>
      </c>
      <c r="D326" t="s">
        <v>30</v>
      </c>
      <c r="E326" t="s">
        <v>40</v>
      </c>
      <c r="F326" s="4">
        <v>1771</v>
      </c>
      <c r="G326" s="4">
        <v>1710</v>
      </c>
      <c r="H326" s="7">
        <f t="shared" si="15"/>
        <v>-61</v>
      </c>
      <c r="I326" s="9">
        <f t="shared" si="16"/>
        <v>-3.4443817052512704E-2</v>
      </c>
      <c r="J326" t="str">
        <f t="shared" si="17"/>
        <v>Favourable</v>
      </c>
    </row>
    <row r="327" spans="1:10" x14ac:dyDescent="0.5">
      <c r="A327" t="s">
        <v>7</v>
      </c>
      <c r="B327" t="str">
        <f>CHOOSE(MATCH(A327,{"Jan","Feb","Mar","Apr","May","Jun","Jul","Aug","Sep","Oct","Nov","Dec"},0), "Q1","Q1","Q1", "Q2","Q2","Q2", "Q3","Q3","Q3", "Q4","Q4","Q4")</f>
        <v>Q1</v>
      </c>
      <c r="C327" t="s">
        <v>23</v>
      </c>
      <c r="D327" t="s">
        <v>30</v>
      </c>
      <c r="E327" t="s">
        <v>40</v>
      </c>
      <c r="F327" s="4">
        <v>1708</v>
      </c>
      <c r="G327" s="4">
        <v>1749</v>
      </c>
      <c r="H327" s="7">
        <f t="shared" si="15"/>
        <v>41</v>
      </c>
      <c r="I327" s="9">
        <f t="shared" si="16"/>
        <v>2.4004683840749413E-2</v>
      </c>
      <c r="J327" t="str">
        <f t="shared" si="17"/>
        <v>Unfavourable</v>
      </c>
    </row>
    <row r="328" spans="1:10" x14ac:dyDescent="0.5">
      <c r="A328" t="s">
        <v>8</v>
      </c>
      <c r="B328" t="str">
        <f>CHOOSE(MATCH(A328,{"Jan","Feb","Mar","Apr","May","Jun","Jul","Aug","Sep","Oct","Nov","Dec"},0), "Q1","Q1","Q1", "Q2","Q2","Q2", "Q3","Q3","Q3", "Q4","Q4","Q4")</f>
        <v>Q1</v>
      </c>
      <c r="C328" t="s">
        <v>23</v>
      </c>
      <c r="D328" t="s">
        <v>30</v>
      </c>
      <c r="E328" t="s">
        <v>40</v>
      </c>
      <c r="F328" s="4">
        <v>1917</v>
      </c>
      <c r="G328" s="4">
        <v>1987</v>
      </c>
      <c r="H328" s="7">
        <f t="shared" si="15"/>
        <v>70</v>
      </c>
      <c r="I328" s="9">
        <f t="shared" si="16"/>
        <v>3.6515388628064686E-2</v>
      </c>
      <c r="J328" t="str">
        <f t="shared" si="17"/>
        <v>Unfavourable</v>
      </c>
    </row>
    <row r="329" spans="1:10" x14ac:dyDescent="0.5">
      <c r="A329" t="s">
        <v>9</v>
      </c>
      <c r="B329" t="str">
        <f>CHOOSE(MATCH(A329,{"Jan","Feb","Mar","Apr","May","Jun","Jul","Aug","Sep","Oct","Nov","Dec"},0), "Q1","Q1","Q1", "Q2","Q2","Q2", "Q3","Q3","Q3", "Q4","Q4","Q4")</f>
        <v>Q2</v>
      </c>
      <c r="C329" t="s">
        <v>23</v>
      </c>
      <c r="D329" t="s">
        <v>30</v>
      </c>
      <c r="E329" t="s">
        <v>40</v>
      </c>
      <c r="F329" s="4">
        <v>1979</v>
      </c>
      <c r="G329" s="4">
        <v>2053</v>
      </c>
      <c r="H329" s="7">
        <f t="shared" si="15"/>
        <v>74</v>
      </c>
      <c r="I329" s="9">
        <f t="shared" si="16"/>
        <v>3.7392622536634661E-2</v>
      </c>
      <c r="J329" t="str">
        <f t="shared" si="17"/>
        <v>Unfavourable</v>
      </c>
    </row>
    <row r="330" spans="1:10" x14ac:dyDescent="0.5">
      <c r="A330" t="s">
        <v>10</v>
      </c>
      <c r="B330" t="str">
        <f>CHOOSE(MATCH(A330,{"Jan","Feb","Mar","Apr","May","Jun","Jul","Aug","Sep","Oct","Nov","Dec"},0), "Q1","Q1","Q1", "Q2","Q2","Q2", "Q3","Q3","Q3", "Q4","Q4","Q4")</f>
        <v>Q2</v>
      </c>
      <c r="C330" t="s">
        <v>23</v>
      </c>
      <c r="D330" t="s">
        <v>30</v>
      </c>
      <c r="E330" t="s">
        <v>40</v>
      </c>
      <c r="F330" s="4">
        <v>2083</v>
      </c>
      <c r="G330" s="4">
        <v>2229</v>
      </c>
      <c r="H330" s="7">
        <f t="shared" si="15"/>
        <v>146</v>
      </c>
      <c r="I330" s="9">
        <f t="shared" si="16"/>
        <v>7.0091214594335094E-2</v>
      </c>
      <c r="J330" t="str">
        <f t="shared" si="17"/>
        <v>Unfavourable</v>
      </c>
    </row>
    <row r="331" spans="1:10" x14ac:dyDescent="0.5">
      <c r="A331" t="s">
        <v>11</v>
      </c>
      <c r="B331" t="str">
        <f>CHOOSE(MATCH(A331,{"Jan","Feb","Mar","Apr","May","Jun","Jul","Aug","Sep","Oct","Nov","Dec"},0), "Q1","Q1","Q1", "Q2","Q2","Q2", "Q3","Q3","Q3", "Q4","Q4","Q4")</f>
        <v>Q2</v>
      </c>
      <c r="C331" t="s">
        <v>23</v>
      </c>
      <c r="D331" t="s">
        <v>30</v>
      </c>
      <c r="E331" t="s">
        <v>40</v>
      </c>
      <c r="F331" s="4">
        <v>2125</v>
      </c>
      <c r="G331" s="4">
        <v>2067</v>
      </c>
      <c r="H331" s="7">
        <f t="shared" si="15"/>
        <v>-58</v>
      </c>
      <c r="I331" s="9">
        <f t="shared" si="16"/>
        <v>-2.7294117647058823E-2</v>
      </c>
      <c r="J331" t="str">
        <f t="shared" si="17"/>
        <v>Favourable</v>
      </c>
    </row>
    <row r="332" spans="1:10" x14ac:dyDescent="0.5">
      <c r="A332" t="s">
        <v>12</v>
      </c>
      <c r="B332" t="str">
        <f>CHOOSE(MATCH(A332,{"Jan","Feb","Mar","Apr","May","Jun","Jul","Aug","Sep","Oct","Nov","Dec"},0), "Q1","Q1","Q1", "Q2","Q2","Q2", "Q3","Q3","Q3", "Q4","Q4","Q4")</f>
        <v>Q3</v>
      </c>
      <c r="C332" t="s">
        <v>23</v>
      </c>
      <c r="D332" t="s">
        <v>30</v>
      </c>
      <c r="E332" t="s">
        <v>40</v>
      </c>
      <c r="F332" s="4">
        <v>1833</v>
      </c>
      <c r="G332" s="4">
        <v>1937</v>
      </c>
      <c r="H332" s="7">
        <f t="shared" si="15"/>
        <v>104</v>
      </c>
      <c r="I332" s="9">
        <f t="shared" si="16"/>
        <v>5.6737588652482268E-2</v>
      </c>
      <c r="J332" t="str">
        <f t="shared" si="17"/>
        <v>Unfavourable</v>
      </c>
    </row>
    <row r="333" spans="1:10" x14ac:dyDescent="0.5">
      <c r="A333" t="s">
        <v>13</v>
      </c>
      <c r="B333" t="str">
        <f>CHOOSE(MATCH(A333,{"Jan","Feb","Mar","Apr","May","Jun","Jul","Aug","Sep","Oct","Nov","Dec"},0), "Q1","Q1","Q1", "Q2","Q2","Q2", "Q3","Q3","Q3", "Q4","Q4","Q4")</f>
        <v>Q3</v>
      </c>
      <c r="C333" t="s">
        <v>23</v>
      </c>
      <c r="D333" t="s">
        <v>30</v>
      </c>
      <c r="E333" t="s">
        <v>40</v>
      </c>
      <c r="F333" s="4">
        <v>1771</v>
      </c>
      <c r="G333" s="4">
        <v>1701</v>
      </c>
      <c r="H333" s="7">
        <f t="shared" si="15"/>
        <v>-70</v>
      </c>
      <c r="I333" s="9">
        <f t="shared" si="16"/>
        <v>-3.9525691699604744E-2</v>
      </c>
      <c r="J333" t="str">
        <f t="shared" si="17"/>
        <v>Favourable</v>
      </c>
    </row>
    <row r="334" spans="1:10" x14ac:dyDescent="0.5">
      <c r="A334" t="s">
        <v>14</v>
      </c>
      <c r="B334" t="str">
        <f>CHOOSE(MATCH(A334,{"Jan","Feb","Mar","Apr","May","Jun","Jul","Aug","Sep","Oct","Nov","Dec"},0), "Q1","Q1","Q1", "Q2","Q2","Q2", "Q3","Q3","Q3", "Q4","Q4","Q4")</f>
        <v>Q3</v>
      </c>
      <c r="C334" t="s">
        <v>23</v>
      </c>
      <c r="D334" t="s">
        <v>30</v>
      </c>
      <c r="E334" t="s">
        <v>40</v>
      </c>
      <c r="F334" s="4">
        <v>2083</v>
      </c>
      <c r="G334" s="4">
        <v>2042</v>
      </c>
      <c r="H334" s="7">
        <f t="shared" si="15"/>
        <v>-41</v>
      </c>
      <c r="I334" s="9">
        <f t="shared" si="16"/>
        <v>-1.9683149303888623E-2</v>
      </c>
      <c r="J334" t="str">
        <f t="shared" si="17"/>
        <v>Favourable</v>
      </c>
    </row>
    <row r="335" spans="1:10" x14ac:dyDescent="0.5">
      <c r="A335" t="s">
        <v>15</v>
      </c>
      <c r="B335" t="str">
        <f>CHOOSE(MATCH(A335,{"Jan","Feb","Mar","Apr","May","Jun","Jul","Aug","Sep","Oct","Nov","Dec"},0), "Q1","Q1","Q1", "Q2","Q2","Q2", "Q3","Q3","Q3", "Q4","Q4","Q4")</f>
        <v>Q4</v>
      </c>
      <c r="C335" t="s">
        <v>23</v>
      </c>
      <c r="D335" t="s">
        <v>30</v>
      </c>
      <c r="E335" t="s">
        <v>40</v>
      </c>
      <c r="F335" s="4">
        <v>2188</v>
      </c>
      <c r="G335" s="4">
        <v>2319</v>
      </c>
      <c r="H335" s="7">
        <f t="shared" si="15"/>
        <v>131</v>
      </c>
      <c r="I335" s="9">
        <f t="shared" si="16"/>
        <v>5.9872029250457037E-2</v>
      </c>
      <c r="J335" t="str">
        <f t="shared" si="17"/>
        <v>Unfavourable</v>
      </c>
    </row>
    <row r="336" spans="1:10" x14ac:dyDescent="0.5">
      <c r="A336" t="s">
        <v>16</v>
      </c>
      <c r="B336" t="str">
        <f>CHOOSE(MATCH(A336,{"Jan","Feb","Mar","Apr","May","Jun","Jul","Aug","Sep","Oct","Nov","Dec"},0), "Q1","Q1","Q1", "Q2","Q2","Q2", "Q3","Q3","Q3", "Q4","Q4","Q4")</f>
        <v>Q4</v>
      </c>
      <c r="C336" t="s">
        <v>23</v>
      </c>
      <c r="D336" t="s">
        <v>30</v>
      </c>
      <c r="E336" t="s">
        <v>40</v>
      </c>
      <c r="F336" s="4">
        <v>2250</v>
      </c>
      <c r="G336" s="4">
        <v>2343</v>
      </c>
      <c r="H336" s="7">
        <f t="shared" si="15"/>
        <v>93</v>
      </c>
      <c r="I336" s="9">
        <f t="shared" si="16"/>
        <v>4.1333333333333333E-2</v>
      </c>
      <c r="J336" t="str">
        <f t="shared" si="17"/>
        <v>Unfavourable</v>
      </c>
    </row>
    <row r="337" spans="1:10" x14ac:dyDescent="0.5">
      <c r="A337" t="s">
        <v>17</v>
      </c>
      <c r="B337" t="str">
        <f>CHOOSE(MATCH(A337,{"Jan","Feb","Mar","Apr","May","Jun","Jul","Aug","Sep","Oct","Nov","Dec"},0), "Q1","Q1","Q1", "Q2","Q2","Q2", "Q3","Q3","Q3", "Q4","Q4","Q4")</f>
        <v>Q4</v>
      </c>
      <c r="C337" t="s">
        <v>23</v>
      </c>
      <c r="D337" t="s">
        <v>30</v>
      </c>
      <c r="E337" t="s">
        <v>40</v>
      </c>
      <c r="F337" s="4">
        <v>3292</v>
      </c>
      <c r="G337" s="4">
        <v>3292</v>
      </c>
      <c r="H337" s="7">
        <f t="shared" si="15"/>
        <v>0</v>
      </c>
      <c r="I337" s="9">
        <f t="shared" si="16"/>
        <v>0</v>
      </c>
      <c r="J337" t="str">
        <f t="shared" si="17"/>
        <v>Unfavourable</v>
      </c>
    </row>
    <row r="338" spans="1:10" x14ac:dyDescent="0.5">
      <c r="A338" t="s">
        <v>4</v>
      </c>
      <c r="B338" t="str">
        <f>CHOOSE(MATCH(A338,{"Jan","Feb","Mar","Apr","May","Jun","Jul","Aug","Sep","Oct","Nov","Dec"},0), "Q1","Q1","Q1", "Q2","Q2","Q2", "Q3","Q3","Q3", "Q4","Q4","Q4")</f>
        <v>Q1</v>
      </c>
      <c r="C338" t="s">
        <v>23</v>
      </c>
      <c r="D338" t="s">
        <v>32</v>
      </c>
      <c r="E338" t="s">
        <v>40</v>
      </c>
      <c r="F338" s="4">
        <v>1062</v>
      </c>
      <c r="G338" s="4">
        <v>1134</v>
      </c>
      <c r="H338" s="7">
        <f t="shared" si="15"/>
        <v>72</v>
      </c>
      <c r="I338" s="9">
        <f t="shared" si="16"/>
        <v>6.7796610169491525E-2</v>
      </c>
      <c r="J338" t="str">
        <f t="shared" si="17"/>
        <v>Unfavourable</v>
      </c>
    </row>
    <row r="339" spans="1:10" x14ac:dyDescent="0.5">
      <c r="A339" t="s">
        <v>7</v>
      </c>
      <c r="B339" t="str">
        <f>CHOOSE(MATCH(A339,{"Jan","Feb","Mar","Apr","May","Jun","Jul","Aug","Sep","Oct","Nov","Dec"},0), "Q1","Q1","Q1", "Q2","Q2","Q2", "Q3","Q3","Q3", "Q4","Q4","Q4")</f>
        <v>Q1</v>
      </c>
      <c r="C339" t="s">
        <v>23</v>
      </c>
      <c r="D339" t="s">
        <v>32</v>
      </c>
      <c r="E339" t="s">
        <v>40</v>
      </c>
      <c r="F339" s="4">
        <v>1025</v>
      </c>
      <c r="G339" s="4">
        <v>911</v>
      </c>
      <c r="H339" s="7">
        <f t="shared" si="15"/>
        <v>-114</v>
      </c>
      <c r="I339" s="9">
        <f t="shared" si="16"/>
        <v>-0.11121951219512195</v>
      </c>
      <c r="J339" t="str">
        <f t="shared" si="17"/>
        <v>Favourable</v>
      </c>
    </row>
    <row r="340" spans="1:10" x14ac:dyDescent="0.5">
      <c r="A340" t="s">
        <v>8</v>
      </c>
      <c r="B340" t="str">
        <f>CHOOSE(MATCH(A340,{"Jan","Feb","Mar","Apr","May","Jun","Jul","Aug","Sep","Oct","Nov","Dec"},0), "Q1","Q1","Q1", "Q2","Q2","Q2", "Q3","Q3","Q3", "Q4","Q4","Q4")</f>
        <v>Q1</v>
      </c>
      <c r="C340" t="s">
        <v>23</v>
      </c>
      <c r="D340" t="s">
        <v>32</v>
      </c>
      <c r="E340" t="s">
        <v>40</v>
      </c>
      <c r="F340" s="4">
        <v>1150</v>
      </c>
      <c r="G340" s="4">
        <v>1184</v>
      </c>
      <c r="H340" s="7">
        <f t="shared" si="15"/>
        <v>34</v>
      </c>
      <c r="I340" s="9">
        <f t="shared" si="16"/>
        <v>2.9565217391304348E-2</v>
      </c>
      <c r="J340" t="str">
        <f t="shared" si="17"/>
        <v>Unfavourable</v>
      </c>
    </row>
    <row r="341" spans="1:10" x14ac:dyDescent="0.5">
      <c r="A341" t="s">
        <v>9</v>
      </c>
      <c r="B341" t="str">
        <f>CHOOSE(MATCH(A341,{"Jan","Feb","Mar","Apr","May","Jun","Jul","Aug","Sep","Oct","Nov","Dec"},0), "Q1","Q1","Q1", "Q2","Q2","Q2", "Q3","Q3","Q3", "Q4","Q4","Q4")</f>
        <v>Q2</v>
      </c>
      <c r="C341" t="s">
        <v>23</v>
      </c>
      <c r="D341" t="s">
        <v>32</v>
      </c>
      <c r="E341" t="s">
        <v>40</v>
      </c>
      <c r="F341" s="4">
        <v>1188</v>
      </c>
      <c r="G341" s="4">
        <v>1239</v>
      </c>
      <c r="H341" s="7">
        <f t="shared" si="15"/>
        <v>51</v>
      </c>
      <c r="I341" s="9">
        <f t="shared" si="16"/>
        <v>4.2929292929292928E-2</v>
      </c>
      <c r="J341" t="str">
        <f t="shared" si="17"/>
        <v>Unfavourable</v>
      </c>
    </row>
    <row r="342" spans="1:10" x14ac:dyDescent="0.5">
      <c r="A342" t="s">
        <v>10</v>
      </c>
      <c r="B342" t="str">
        <f>CHOOSE(MATCH(A342,{"Jan","Feb","Mar","Apr","May","Jun","Jul","Aug","Sep","Oct","Nov","Dec"},0), "Q1","Q1","Q1", "Q2","Q2","Q2", "Q3","Q3","Q3", "Q4","Q4","Q4")</f>
        <v>Q2</v>
      </c>
      <c r="C342" t="s">
        <v>23</v>
      </c>
      <c r="D342" t="s">
        <v>32</v>
      </c>
      <c r="E342" t="s">
        <v>40</v>
      </c>
      <c r="F342" s="4">
        <v>1250</v>
      </c>
      <c r="G342" s="4">
        <v>1162</v>
      </c>
      <c r="H342" s="7">
        <f t="shared" si="15"/>
        <v>-88</v>
      </c>
      <c r="I342" s="9">
        <f t="shared" si="16"/>
        <v>-7.0400000000000004E-2</v>
      </c>
      <c r="J342" t="str">
        <f t="shared" si="17"/>
        <v>Favourable</v>
      </c>
    </row>
    <row r="343" spans="1:10" x14ac:dyDescent="0.5">
      <c r="A343" t="s">
        <v>11</v>
      </c>
      <c r="B343" t="str">
        <f>CHOOSE(MATCH(A343,{"Jan","Feb","Mar","Apr","May","Jun","Jul","Aug","Sep","Oct","Nov","Dec"},0), "Q1","Q1","Q1", "Q2","Q2","Q2", "Q3","Q3","Q3", "Q4","Q4","Q4")</f>
        <v>Q2</v>
      </c>
      <c r="C343" t="s">
        <v>23</v>
      </c>
      <c r="D343" t="s">
        <v>32</v>
      </c>
      <c r="E343" t="s">
        <v>40</v>
      </c>
      <c r="F343" s="4">
        <v>1275</v>
      </c>
      <c r="G343" s="4">
        <v>1369</v>
      </c>
      <c r="H343" s="7">
        <f t="shared" si="15"/>
        <v>94</v>
      </c>
      <c r="I343" s="9">
        <f t="shared" si="16"/>
        <v>7.3725490196078436E-2</v>
      </c>
      <c r="J343" t="str">
        <f t="shared" si="17"/>
        <v>Unfavourable</v>
      </c>
    </row>
    <row r="344" spans="1:10" x14ac:dyDescent="0.5">
      <c r="A344" t="s">
        <v>12</v>
      </c>
      <c r="B344" t="str">
        <f>CHOOSE(MATCH(A344,{"Jan","Feb","Mar","Apr","May","Jun","Jul","Aug","Sep","Oct","Nov","Dec"},0), "Q1","Q1","Q1", "Q2","Q2","Q2", "Q3","Q3","Q3", "Q4","Q4","Q4")</f>
        <v>Q3</v>
      </c>
      <c r="C344" t="s">
        <v>23</v>
      </c>
      <c r="D344" t="s">
        <v>32</v>
      </c>
      <c r="E344" t="s">
        <v>40</v>
      </c>
      <c r="F344" s="4">
        <v>1100</v>
      </c>
      <c r="G344" s="4">
        <v>1012</v>
      </c>
      <c r="H344" s="7">
        <f t="shared" si="15"/>
        <v>-88</v>
      </c>
      <c r="I344" s="9">
        <f t="shared" si="16"/>
        <v>-0.08</v>
      </c>
      <c r="J344" t="str">
        <f t="shared" si="17"/>
        <v>Favourable</v>
      </c>
    </row>
    <row r="345" spans="1:10" x14ac:dyDescent="0.5">
      <c r="A345" t="s">
        <v>13</v>
      </c>
      <c r="B345" t="str">
        <f>CHOOSE(MATCH(A345,{"Jan","Feb","Mar","Apr","May","Jun","Jul","Aug","Sep","Oct","Nov","Dec"},0), "Q1","Q1","Q1", "Q2","Q2","Q2", "Q3","Q3","Q3", "Q4","Q4","Q4")</f>
        <v>Q3</v>
      </c>
      <c r="C345" t="s">
        <v>23</v>
      </c>
      <c r="D345" t="s">
        <v>32</v>
      </c>
      <c r="E345" t="s">
        <v>40</v>
      </c>
      <c r="F345" s="4">
        <v>1062</v>
      </c>
      <c r="G345" s="4">
        <v>869</v>
      </c>
      <c r="H345" s="7">
        <f t="shared" si="15"/>
        <v>-193</v>
      </c>
      <c r="I345" s="9">
        <f t="shared" si="16"/>
        <v>-0.18173258003766479</v>
      </c>
      <c r="J345" t="str">
        <f t="shared" si="17"/>
        <v>Favourable</v>
      </c>
    </row>
    <row r="346" spans="1:10" x14ac:dyDescent="0.5">
      <c r="A346" t="s">
        <v>14</v>
      </c>
      <c r="B346" t="str">
        <f>CHOOSE(MATCH(A346,{"Jan","Feb","Mar","Apr","May","Jun","Jul","Aug","Sep","Oct","Nov","Dec"},0), "Q1","Q1","Q1", "Q2","Q2","Q2", "Q3","Q3","Q3", "Q4","Q4","Q4")</f>
        <v>Q3</v>
      </c>
      <c r="C346" t="s">
        <v>23</v>
      </c>
      <c r="D346" t="s">
        <v>32</v>
      </c>
      <c r="E346" t="s">
        <v>40</v>
      </c>
      <c r="F346" s="4">
        <v>1250</v>
      </c>
      <c r="G346" s="4">
        <v>1155</v>
      </c>
      <c r="H346" s="7">
        <f t="shared" si="15"/>
        <v>-95</v>
      </c>
      <c r="I346" s="9">
        <f t="shared" si="16"/>
        <v>-7.5999999999999998E-2</v>
      </c>
      <c r="J346" t="str">
        <f t="shared" si="17"/>
        <v>Favourable</v>
      </c>
    </row>
    <row r="347" spans="1:10" x14ac:dyDescent="0.5">
      <c r="A347" t="s">
        <v>15</v>
      </c>
      <c r="B347" t="str">
        <f>CHOOSE(MATCH(A347,{"Jan","Feb","Mar","Apr","May","Jun","Jul","Aug","Sep","Oct","Nov","Dec"},0), "Q1","Q1","Q1", "Q2","Q2","Q2", "Q3","Q3","Q3", "Q4","Q4","Q4")</f>
        <v>Q4</v>
      </c>
      <c r="C347" t="s">
        <v>23</v>
      </c>
      <c r="D347" t="s">
        <v>32</v>
      </c>
      <c r="E347" t="s">
        <v>40</v>
      </c>
      <c r="F347" s="4">
        <v>1312</v>
      </c>
      <c r="G347" s="4">
        <v>1345</v>
      </c>
      <c r="H347" s="7">
        <f t="shared" si="15"/>
        <v>33</v>
      </c>
      <c r="I347" s="9">
        <f t="shared" si="16"/>
        <v>2.5152439024390245E-2</v>
      </c>
      <c r="J347" t="str">
        <f t="shared" si="17"/>
        <v>Unfavourable</v>
      </c>
    </row>
    <row r="348" spans="1:10" x14ac:dyDescent="0.5">
      <c r="A348" t="s">
        <v>16</v>
      </c>
      <c r="B348" t="str">
        <f>CHOOSE(MATCH(A348,{"Jan","Feb","Mar","Apr","May","Jun","Jul","Aug","Sep","Oct","Nov","Dec"},0), "Q1","Q1","Q1", "Q2","Q2","Q2", "Q3","Q3","Q3", "Q4","Q4","Q4")</f>
        <v>Q4</v>
      </c>
      <c r="C348" t="s">
        <v>23</v>
      </c>
      <c r="D348" t="s">
        <v>32</v>
      </c>
      <c r="E348" t="s">
        <v>40</v>
      </c>
      <c r="F348" s="4">
        <v>1350</v>
      </c>
      <c r="G348" s="4">
        <v>1534</v>
      </c>
      <c r="H348" s="7">
        <f t="shared" si="15"/>
        <v>184</v>
      </c>
      <c r="I348" s="9">
        <f t="shared" si="16"/>
        <v>0.1362962962962963</v>
      </c>
      <c r="J348" t="str">
        <f t="shared" si="17"/>
        <v>Unfavourable</v>
      </c>
    </row>
    <row r="349" spans="1:10" x14ac:dyDescent="0.5">
      <c r="A349" t="s">
        <v>17</v>
      </c>
      <c r="B349" t="str">
        <f>CHOOSE(MATCH(A349,{"Jan","Feb","Mar","Apr","May","Jun","Jul","Aug","Sep","Oct","Nov","Dec"},0), "Q1","Q1","Q1", "Q2","Q2","Q2", "Q3","Q3","Q3", "Q4","Q4","Q4")</f>
        <v>Q4</v>
      </c>
      <c r="C349" t="s">
        <v>23</v>
      </c>
      <c r="D349" t="s">
        <v>32</v>
      </c>
      <c r="E349" t="s">
        <v>40</v>
      </c>
      <c r="F349" s="4">
        <v>1975</v>
      </c>
      <c r="G349" s="4">
        <v>1900</v>
      </c>
      <c r="H349" s="7">
        <f t="shared" si="15"/>
        <v>-75</v>
      </c>
      <c r="I349" s="9">
        <f t="shared" si="16"/>
        <v>-3.7974683544303799E-2</v>
      </c>
      <c r="J349" t="str">
        <f t="shared" si="17"/>
        <v>Favourable</v>
      </c>
    </row>
    <row r="350" spans="1:10" x14ac:dyDescent="0.5">
      <c r="A350" t="s">
        <v>4</v>
      </c>
      <c r="B350" t="str">
        <f>CHOOSE(MATCH(A350,{"Jan","Feb","Mar","Apr","May","Jun","Jul","Aug","Sep","Oct","Nov","Dec"},0), "Q1","Q1","Q1", "Q2","Q2","Q2", "Q3","Q3","Q3", "Q4","Q4","Q4")</f>
        <v>Q1</v>
      </c>
      <c r="C350" t="s">
        <v>23</v>
      </c>
      <c r="D350" t="s">
        <v>25</v>
      </c>
      <c r="E350" t="s">
        <v>43</v>
      </c>
      <c r="F350" s="4">
        <v>46042</v>
      </c>
      <c r="G350" s="4">
        <v>46374</v>
      </c>
      <c r="H350" s="7">
        <f t="shared" si="15"/>
        <v>332</v>
      </c>
      <c r="I350" s="9">
        <f t="shared" si="16"/>
        <v>7.2108075235654406E-3</v>
      </c>
      <c r="J350" t="str">
        <f t="shared" si="17"/>
        <v>Unfavourable</v>
      </c>
    </row>
    <row r="351" spans="1:10" x14ac:dyDescent="0.5">
      <c r="A351" t="s">
        <v>7</v>
      </c>
      <c r="B351" t="str">
        <f>CHOOSE(MATCH(A351,{"Jan","Feb","Mar","Apr","May","Jun","Jul","Aug","Sep","Oct","Nov","Dec"},0), "Q1","Q1","Q1", "Q2","Q2","Q2", "Q3","Q3","Q3", "Q4","Q4","Q4")</f>
        <v>Q1</v>
      </c>
      <c r="C351" t="s">
        <v>23</v>
      </c>
      <c r="D351" t="s">
        <v>25</v>
      </c>
      <c r="E351" t="s">
        <v>43</v>
      </c>
      <c r="F351" s="4">
        <v>44417</v>
      </c>
      <c r="G351" s="4">
        <v>45061</v>
      </c>
      <c r="H351" s="7">
        <f t="shared" si="15"/>
        <v>644</v>
      </c>
      <c r="I351" s="9">
        <f t="shared" si="16"/>
        <v>1.4498953103541436E-2</v>
      </c>
      <c r="J351" t="str">
        <f t="shared" si="17"/>
        <v>Unfavourable</v>
      </c>
    </row>
    <row r="352" spans="1:10" x14ac:dyDescent="0.5">
      <c r="A352" t="s">
        <v>8</v>
      </c>
      <c r="B352" t="str">
        <f>CHOOSE(MATCH(A352,{"Jan","Feb","Mar","Apr","May","Jun","Jul","Aug","Sep","Oct","Nov","Dec"},0), "Q1","Q1","Q1", "Q2","Q2","Q2", "Q3","Q3","Q3", "Q4","Q4","Q4")</f>
        <v>Q1</v>
      </c>
      <c r="C352" t="s">
        <v>23</v>
      </c>
      <c r="D352" t="s">
        <v>25</v>
      </c>
      <c r="E352" t="s">
        <v>43</v>
      </c>
      <c r="F352" s="4">
        <v>49833</v>
      </c>
      <c r="G352" s="4">
        <v>49846</v>
      </c>
      <c r="H352" s="7">
        <f t="shared" si="15"/>
        <v>13</v>
      </c>
      <c r="I352" s="9">
        <f t="shared" si="16"/>
        <v>2.6087131017598779E-4</v>
      </c>
      <c r="J352" t="str">
        <f t="shared" si="17"/>
        <v>Unfavourable</v>
      </c>
    </row>
    <row r="353" spans="1:10" x14ac:dyDescent="0.5">
      <c r="A353" t="s">
        <v>9</v>
      </c>
      <c r="B353" t="str">
        <f>CHOOSE(MATCH(A353,{"Jan","Feb","Mar","Apr","May","Jun","Jul","Aug","Sep","Oct","Nov","Dec"},0), "Q1","Q1","Q1", "Q2","Q2","Q2", "Q3","Q3","Q3", "Q4","Q4","Q4")</f>
        <v>Q2</v>
      </c>
      <c r="C353" t="s">
        <v>23</v>
      </c>
      <c r="D353" t="s">
        <v>25</v>
      </c>
      <c r="E353" t="s">
        <v>43</v>
      </c>
      <c r="F353" s="4">
        <v>51458</v>
      </c>
      <c r="G353" s="4">
        <v>51413</v>
      </c>
      <c r="H353" s="7">
        <f t="shared" si="15"/>
        <v>-45</v>
      </c>
      <c r="I353" s="9">
        <f t="shared" si="16"/>
        <v>-8.7449959190019047E-4</v>
      </c>
      <c r="J353" t="str">
        <f t="shared" si="17"/>
        <v>Favourable</v>
      </c>
    </row>
    <row r="354" spans="1:10" x14ac:dyDescent="0.5">
      <c r="A354" t="s">
        <v>10</v>
      </c>
      <c r="B354" t="str">
        <f>CHOOSE(MATCH(A354,{"Jan","Feb","Mar","Apr","May","Jun","Jul","Aug","Sep","Oct","Nov","Dec"},0), "Q1","Q1","Q1", "Q2","Q2","Q2", "Q3","Q3","Q3", "Q4","Q4","Q4")</f>
        <v>Q2</v>
      </c>
      <c r="C354" t="s">
        <v>23</v>
      </c>
      <c r="D354" t="s">
        <v>25</v>
      </c>
      <c r="E354" t="s">
        <v>43</v>
      </c>
      <c r="F354" s="4">
        <v>54167</v>
      </c>
      <c r="G354" s="4">
        <v>53238</v>
      </c>
      <c r="H354" s="7">
        <f t="shared" si="15"/>
        <v>-929</v>
      </c>
      <c r="I354" s="9">
        <f t="shared" si="16"/>
        <v>-1.7150663688223457E-2</v>
      </c>
      <c r="J354" t="str">
        <f t="shared" si="17"/>
        <v>Favourable</v>
      </c>
    </row>
    <row r="355" spans="1:10" x14ac:dyDescent="0.5">
      <c r="A355" t="s">
        <v>11</v>
      </c>
      <c r="B355" t="str">
        <f>CHOOSE(MATCH(A355,{"Jan","Feb","Mar","Apr","May","Jun","Jul","Aug","Sep","Oct","Nov","Dec"},0), "Q1","Q1","Q1", "Q2","Q2","Q2", "Q3","Q3","Q3", "Q4","Q4","Q4")</f>
        <v>Q2</v>
      </c>
      <c r="C355" t="s">
        <v>23</v>
      </c>
      <c r="D355" t="s">
        <v>25</v>
      </c>
      <c r="E355" t="s">
        <v>43</v>
      </c>
      <c r="F355" s="4">
        <v>55250</v>
      </c>
      <c r="G355" s="4">
        <v>55611</v>
      </c>
      <c r="H355" s="7">
        <f t="shared" si="15"/>
        <v>361</v>
      </c>
      <c r="I355" s="9">
        <f t="shared" si="16"/>
        <v>6.5339366515837103E-3</v>
      </c>
      <c r="J355" t="str">
        <f t="shared" si="17"/>
        <v>Unfavourable</v>
      </c>
    </row>
    <row r="356" spans="1:10" x14ac:dyDescent="0.5">
      <c r="A356" t="s">
        <v>12</v>
      </c>
      <c r="B356" t="str">
        <f>CHOOSE(MATCH(A356,{"Jan","Feb","Mar","Apr","May","Jun","Jul","Aug","Sep","Oct","Nov","Dec"},0), "Q1","Q1","Q1", "Q2","Q2","Q2", "Q3","Q3","Q3", "Q4","Q4","Q4")</f>
        <v>Q3</v>
      </c>
      <c r="C356" t="s">
        <v>23</v>
      </c>
      <c r="D356" t="s">
        <v>25</v>
      </c>
      <c r="E356" t="s">
        <v>43</v>
      </c>
      <c r="F356" s="4">
        <v>47667</v>
      </c>
      <c r="G356" s="4">
        <v>48739</v>
      </c>
      <c r="H356" s="7">
        <f t="shared" si="15"/>
        <v>1072</v>
      </c>
      <c r="I356" s="9">
        <f t="shared" si="16"/>
        <v>2.2489353221306144E-2</v>
      </c>
      <c r="J356" t="str">
        <f t="shared" si="17"/>
        <v>Unfavourable</v>
      </c>
    </row>
    <row r="357" spans="1:10" x14ac:dyDescent="0.5">
      <c r="A357" t="s">
        <v>13</v>
      </c>
      <c r="B357" t="str">
        <f>CHOOSE(MATCH(A357,{"Jan","Feb","Mar","Apr","May","Jun","Jul","Aug","Sep","Oct","Nov","Dec"},0), "Q1","Q1","Q1", "Q2","Q2","Q2", "Q3","Q3","Q3", "Q4","Q4","Q4")</f>
        <v>Q3</v>
      </c>
      <c r="C357" t="s">
        <v>23</v>
      </c>
      <c r="D357" t="s">
        <v>25</v>
      </c>
      <c r="E357" t="s">
        <v>43</v>
      </c>
      <c r="F357" s="4">
        <v>46042</v>
      </c>
      <c r="G357" s="4">
        <v>46025</v>
      </c>
      <c r="H357" s="7">
        <f t="shared" si="15"/>
        <v>-17</v>
      </c>
      <c r="I357" s="9">
        <f t="shared" si="16"/>
        <v>-3.6922809608618218E-4</v>
      </c>
      <c r="J357" t="str">
        <f t="shared" si="17"/>
        <v>Favourable</v>
      </c>
    </row>
    <row r="358" spans="1:10" x14ac:dyDescent="0.5">
      <c r="A358" t="s">
        <v>14</v>
      </c>
      <c r="B358" t="str">
        <f>CHOOSE(MATCH(A358,{"Jan","Feb","Mar","Apr","May","Jun","Jul","Aug","Sep","Oct","Nov","Dec"},0), "Q1","Q1","Q1", "Q2","Q2","Q2", "Q3","Q3","Q3", "Q4","Q4","Q4")</f>
        <v>Q3</v>
      </c>
      <c r="C358" t="s">
        <v>23</v>
      </c>
      <c r="D358" t="s">
        <v>25</v>
      </c>
      <c r="E358" t="s">
        <v>43</v>
      </c>
      <c r="F358" s="4">
        <v>54167</v>
      </c>
      <c r="G358" s="4">
        <v>55219</v>
      </c>
      <c r="H358" s="7">
        <f t="shared" si="15"/>
        <v>1052</v>
      </c>
      <c r="I358" s="9">
        <f t="shared" si="16"/>
        <v>1.9421418945114184E-2</v>
      </c>
      <c r="J358" t="str">
        <f t="shared" si="17"/>
        <v>Unfavourable</v>
      </c>
    </row>
    <row r="359" spans="1:10" x14ac:dyDescent="0.5">
      <c r="A359" t="s">
        <v>15</v>
      </c>
      <c r="B359" t="str">
        <f>CHOOSE(MATCH(A359,{"Jan","Feb","Mar","Apr","May","Jun","Jul","Aug","Sep","Oct","Nov","Dec"},0), "Q1","Q1","Q1", "Q2","Q2","Q2", "Q3","Q3","Q3", "Q4","Q4","Q4")</f>
        <v>Q4</v>
      </c>
      <c r="C359" t="s">
        <v>23</v>
      </c>
      <c r="D359" t="s">
        <v>25</v>
      </c>
      <c r="E359" t="s">
        <v>43</v>
      </c>
      <c r="F359" s="4">
        <v>56875</v>
      </c>
      <c r="G359" s="4">
        <v>57151</v>
      </c>
      <c r="H359" s="7">
        <f t="shared" si="15"/>
        <v>276</v>
      </c>
      <c r="I359" s="9">
        <f t="shared" si="16"/>
        <v>4.852747252747253E-3</v>
      </c>
      <c r="J359" t="str">
        <f t="shared" si="17"/>
        <v>Unfavourable</v>
      </c>
    </row>
    <row r="360" spans="1:10" x14ac:dyDescent="0.5">
      <c r="A360" t="s">
        <v>16</v>
      </c>
      <c r="B360" t="str">
        <f>CHOOSE(MATCH(A360,{"Jan","Feb","Mar","Apr","May","Jun","Jul","Aug","Sep","Oct","Nov","Dec"},0), "Q1","Q1","Q1", "Q2","Q2","Q2", "Q3","Q3","Q3", "Q4","Q4","Q4")</f>
        <v>Q4</v>
      </c>
      <c r="C360" t="s">
        <v>23</v>
      </c>
      <c r="D360" t="s">
        <v>25</v>
      </c>
      <c r="E360" t="s">
        <v>43</v>
      </c>
      <c r="F360" s="4">
        <v>58500</v>
      </c>
      <c r="G360" s="4">
        <v>56990</v>
      </c>
      <c r="H360" s="7">
        <f t="shared" si="15"/>
        <v>-1510</v>
      </c>
      <c r="I360" s="9">
        <f t="shared" si="16"/>
        <v>-2.5811965811965813E-2</v>
      </c>
      <c r="J360" t="str">
        <f t="shared" si="17"/>
        <v>Favourable</v>
      </c>
    </row>
    <row r="361" spans="1:10" x14ac:dyDescent="0.5">
      <c r="A361" t="s">
        <v>17</v>
      </c>
      <c r="B361" t="str">
        <f>CHOOSE(MATCH(A361,{"Jan","Feb","Mar","Apr","May","Jun","Jul","Aug","Sep","Oct","Nov","Dec"},0), "Q1","Q1","Q1", "Q2","Q2","Q2", "Q3","Q3","Q3", "Q4","Q4","Q4")</f>
        <v>Q4</v>
      </c>
      <c r="C361" t="s">
        <v>23</v>
      </c>
      <c r="D361" t="s">
        <v>25</v>
      </c>
      <c r="E361" t="s">
        <v>43</v>
      </c>
      <c r="F361" s="4">
        <v>85583</v>
      </c>
      <c r="G361" s="4">
        <v>84400</v>
      </c>
      <c r="H361" s="7">
        <f t="shared" si="15"/>
        <v>-1183</v>
      </c>
      <c r="I361" s="9">
        <f t="shared" si="16"/>
        <v>-1.3822838647862309E-2</v>
      </c>
      <c r="J361" t="str">
        <f t="shared" si="17"/>
        <v>Favourable</v>
      </c>
    </row>
    <row r="362" spans="1:10" x14ac:dyDescent="0.5">
      <c r="A362" t="s">
        <v>4</v>
      </c>
      <c r="B362" t="str">
        <f>CHOOSE(MATCH(A362,{"Jan","Feb","Mar","Apr","May","Jun","Jul","Aug","Sep","Oct","Nov","Dec"},0), "Q1","Q1","Q1", "Q2","Q2","Q2", "Q3","Q3","Q3", "Q4","Q4","Q4")</f>
        <v>Q1</v>
      </c>
      <c r="C362" t="s">
        <v>23</v>
      </c>
      <c r="D362" t="s">
        <v>44</v>
      </c>
      <c r="E362" t="s">
        <v>43</v>
      </c>
      <c r="F362" s="4">
        <v>5667</v>
      </c>
      <c r="G362" s="4">
        <v>5970</v>
      </c>
      <c r="H362" s="7">
        <f t="shared" si="15"/>
        <v>303</v>
      </c>
      <c r="I362" s="9">
        <f t="shared" si="16"/>
        <v>5.3467443091582849E-2</v>
      </c>
      <c r="J362" t="str">
        <f t="shared" si="17"/>
        <v>Unfavourable</v>
      </c>
    </row>
    <row r="363" spans="1:10" x14ac:dyDescent="0.5">
      <c r="A363" t="s">
        <v>7</v>
      </c>
      <c r="B363" t="str">
        <f>CHOOSE(MATCH(A363,{"Jan","Feb","Mar","Apr","May","Jun","Jul","Aug","Sep","Oct","Nov","Dec"},0), "Q1","Q1","Q1", "Q2","Q2","Q2", "Q3","Q3","Q3", "Q4","Q4","Q4")</f>
        <v>Q1</v>
      </c>
      <c r="C363" t="s">
        <v>23</v>
      </c>
      <c r="D363" t="s">
        <v>44</v>
      </c>
      <c r="E363" t="s">
        <v>43</v>
      </c>
      <c r="F363" s="4">
        <v>5467</v>
      </c>
      <c r="G363" s="4">
        <v>5230</v>
      </c>
      <c r="H363" s="7">
        <f t="shared" si="15"/>
        <v>-237</v>
      </c>
      <c r="I363" s="9">
        <f t="shared" si="16"/>
        <v>-4.3351015182001094E-2</v>
      </c>
      <c r="J363" t="str">
        <f t="shared" si="17"/>
        <v>Favourable</v>
      </c>
    </row>
    <row r="364" spans="1:10" x14ac:dyDescent="0.5">
      <c r="A364" t="s">
        <v>8</v>
      </c>
      <c r="B364" t="str">
        <f>CHOOSE(MATCH(A364,{"Jan","Feb","Mar","Apr","May","Jun","Jul","Aug","Sep","Oct","Nov","Dec"},0), "Q1","Q1","Q1", "Q2","Q2","Q2", "Q3","Q3","Q3", "Q4","Q4","Q4")</f>
        <v>Q1</v>
      </c>
      <c r="C364" t="s">
        <v>23</v>
      </c>
      <c r="D364" t="s">
        <v>44</v>
      </c>
      <c r="E364" t="s">
        <v>43</v>
      </c>
      <c r="F364" s="4">
        <v>6133</v>
      </c>
      <c r="G364" s="4">
        <v>6063</v>
      </c>
      <c r="H364" s="7">
        <f t="shared" si="15"/>
        <v>-70</v>
      </c>
      <c r="I364" s="9">
        <f t="shared" si="16"/>
        <v>-1.1413663786075331E-2</v>
      </c>
      <c r="J364" t="str">
        <f t="shared" si="17"/>
        <v>Favourable</v>
      </c>
    </row>
    <row r="365" spans="1:10" x14ac:dyDescent="0.5">
      <c r="A365" t="s">
        <v>9</v>
      </c>
      <c r="B365" t="str">
        <f>CHOOSE(MATCH(A365,{"Jan","Feb","Mar","Apr","May","Jun","Jul","Aug","Sep","Oct","Nov","Dec"},0), "Q1","Q1","Q1", "Q2","Q2","Q2", "Q3","Q3","Q3", "Q4","Q4","Q4")</f>
        <v>Q2</v>
      </c>
      <c r="C365" t="s">
        <v>23</v>
      </c>
      <c r="D365" t="s">
        <v>44</v>
      </c>
      <c r="E365" t="s">
        <v>43</v>
      </c>
      <c r="F365" s="4">
        <v>6333</v>
      </c>
      <c r="G365" s="4">
        <v>5965</v>
      </c>
      <c r="H365" s="7">
        <f t="shared" si="15"/>
        <v>-368</v>
      </c>
      <c r="I365" s="9">
        <f t="shared" si="16"/>
        <v>-5.810832149060477E-2</v>
      </c>
      <c r="J365" t="str">
        <f t="shared" si="17"/>
        <v>Favourable</v>
      </c>
    </row>
    <row r="366" spans="1:10" x14ac:dyDescent="0.5">
      <c r="A366" t="s">
        <v>10</v>
      </c>
      <c r="B366" t="str">
        <f>CHOOSE(MATCH(A366,{"Jan","Feb","Mar","Apr","May","Jun","Jul","Aug","Sep","Oct","Nov","Dec"},0), "Q1","Q1","Q1", "Q2","Q2","Q2", "Q3","Q3","Q3", "Q4","Q4","Q4")</f>
        <v>Q2</v>
      </c>
      <c r="C366" t="s">
        <v>23</v>
      </c>
      <c r="D366" t="s">
        <v>44</v>
      </c>
      <c r="E366" t="s">
        <v>43</v>
      </c>
      <c r="F366" s="4">
        <v>6667</v>
      </c>
      <c r="G366" s="4">
        <v>6871</v>
      </c>
      <c r="H366" s="7">
        <f t="shared" si="15"/>
        <v>204</v>
      </c>
      <c r="I366" s="9">
        <f t="shared" si="16"/>
        <v>3.0598470076496177E-2</v>
      </c>
      <c r="J366" t="str">
        <f t="shared" si="17"/>
        <v>Unfavourable</v>
      </c>
    </row>
    <row r="367" spans="1:10" x14ac:dyDescent="0.5">
      <c r="A367" t="s">
        <v>11</v>
      </c>
      <c r="B367" t="str">
        <f>CHOOSE(MATCH(A367,{"Jan","Feb","Mar","Apr","May","Jun","Jul","Aug","Sep","Oct","Nov","Dec"},0), "Q1","Q1","Q1", "Q2","Q2","Q2", "Q3","Q3","Q3", "Q4","Q4","Q4")</f>
        <v>Q2</v>
      </c>
      <c r="C367" t="s">
        <v>23</v>
      </c>
      <c r="D367" t="s">
        <v>44</v>
      </c>
      <c r="E367" t="s">
        <v>43</v>
      </c>
      <c r="F367" s="4">
        <v>6800</v>
      </c>
      <c r="G367" s="4">
        <v>6425</v>
      </c>
      <c r="H367" s="7">
        <f t="shared" si="15"/>
        <v>-375</v>
      </c>
      <c r="I367" s="9">
        <f t="shared" si="16"/>
        <v>-5.514705882352941E-2</v>
      </c>
      <c r="J367" t="str">
        <f t="shared" si="17"/>
        <v>Favourable</v>
      </c>
    </row>
    <row r="368" spans="1:10" x14ac:dyDescent="0.5">
      <c r="A368" t="s">
        <v>12</v>
      </c>
      <c r="B368" t="str">
        <f>CHOOSE(MATCH(A368,{"Jan","Feb","Mar","Apr","May","Jun","Jul","Aug","Sep","Oct","Nov","Dec"},0), "Q1","Q1","Q1", "Q2","Q2","Q2", "Q3","Q3","Q3", "Q4","Q4","Q4")</f>
        <v>Q3</v>
      </c>
      <c r="C368" t="s">
        <v>23</v>
      </c>
      <c r="D368" t="s">
        <v>44</v>
      </c>
      <c r="E368" t="s">
        <v>43</v>
      </c>
      <c r="F368" s="4">
        <v>5867</v>
      </c>
      <c r="G368" s="4">
        <v>6254</v>
      </c>
      <c r="H368" s="7">
        <f t="shared" si="15"/>
        <v>387</v>
      </c>
      <c r="I368" s="9">
        <f t="shared" si="16"/>
        <v>6.596216124083859E-2</v>
      </c>
      <c r="J368" t="str">
        <f t="shared" si="17"/>
        <v>Unfavourable</v>
      </c>
    </row>
    <row r="369" spans="1:10" x14ac:dyDescent="0.5">
      <c r="A369" t="s">
        <v>13</v>
      </c>
      <c r="B369" t="str">
        <f>CHOOSE(MATCH(A369,{"Jan","Feb","Mar","Apr","May","Jun","Jul","Aug","Sep","Oct","Nov","Dec"},0), "Q1","Q1","Q1", "Q2","Q2","Q2", "Q3","Q3","Q3", "Q4","Q4","Q4")</f>
        <v>Q3</v>
      </c>
      <c r="C369" t="s">
        <v>23</v>
      </c>
      <c r="D369" t="s">
        <v>44</v>
      </c>
      <c r="E369" t="s">
        <v>43</v>
      </c>
      <c r="F369" s="4">
        <v>5667</v>
      </c>
      <c r="G369" s="4">
        <v>5386</v>
      </c>
      <c r="H369" s="7">
        <f t="shared" si="15"/>
        <v>-281</v>
      </c>
      <c r="I369" s="9">
        <f t="shared" si="16"/>
        <v>-4.9585318510675845E-2</v>
      </c>
      <c r="J369" t="str">
        <f t="shared" si="17"/>
        <v>Favourable</v>
      </c>
    </row>
    <row r="370" spans="1:10" x14ac:dyDescent="0.5">
      <c r="A370" t="s">
        <v>14</v>
      </c>
      <c r="B370" t="str">
        <f>CHOOSE(MATCH(A370,{"Jan","Feb","Mar","Apr","May","Jun","Jul","Aug","Sep","Oct","Nov","Dec"},0), "Q1","Q1","Q1", "Q2","Q2","Q2", "Q3","Q3","Q3", "Q4","Q4","Q4")</f>
        <v>Q3</v>
      </c>
      <c r="C370" t="s">
        <v>23</v>
      </c>
      <c r="D370" t="s">
        <v>44</v>
      </c>
      <c r="E370" t="s">
        <v>43</v>
      </c>
      <c r="F370" s="4">
        <v>6667</v>
      </c>
      <c r="G370" s="4">
        <v>6412</v>
      </c>
      <c r="H370" s="7">
        <f t="shared" si="15"/>
        <v>-255</v>
      </c>
      <c r="I370" s="9">
        <f t="shared" si="16"/>
        <v>-3.824808759562022E-2</v>
      </c>
      <c r="J370" t="str">
        <f t="shared" si="17"/>
        <v>Favourable</v>
      </c>
    </row>
    <row r="371" spans="1:10" x14ac:dyDescent="0.5">
      <c r="A371" t="s">
        <v>15</v>
      </c>
      <c r="B371" t="str">
        <f>CHOOSE(MATCH(A371,{"Jan","Feb","Mar","Apr","May","Jun","Jul","Aug","Sep","Oct","Nov","Dec"},0), "Q1","Q1","Q1", "Q2","Q2","Q2", "Q3","Q3","Q3", "Q4","Q4","Q4")</f>
        <v>Q4</v>
      </c>
      <c r="C371" t="s">
        <v>23</v>
      </c>
      <c r="D371" t="s">
        <v>44</v>
      </c>
      <c r="E371" t="s">
        <v>43</v>
      </c>
      <c r="F371" s="4">
        <v>7000</v>
      </c>
      <c r="G371" s="4">
        <v>7043</v>
      </c>
      <c r="H371" s="7">
        <f t="shared" si="15"/>
        <v>43</v>
      </c>
      <c r="I371" s="9">
        <f t="shared" si="16"/>
        <v>6.1428571428571426E-3</v>
      </c>
      <c r="J371" t="str">
        <f t="shared" si="17"/>
        <v>Unfavourable</v>
      </c>
    </row>
    <row r="372" spans="1:10" x14ac:dyDescent="0.5">
      <c r="A372" t="s">
        <v>16</v>
      </c>
      <c r="B372" t="str">
        <f>CHOOSE(MATCH(A372,{"Jan","Feb","Mar","Apr","May","Jun","Jul","Aug","Sep","Oct","Nov","Dec"},0), "Q1","Q1","Q1", "Q2","Q2","Q2", "Q3","Q3","Q3", "Q4","Q4","Q4")</f>
        <v>Q4</v>
      </c>
      <c r="C372" t="s">
        <v>23</v>
      </c>
      <c r="D372" t="s">
        <v>44</v>
      </c>
      <c r="E372" t="s">
        <v>43</v>
      </c>
      <c r="F372" s="4">
        <v>7200</v>
      </c>
      <c r="G372" s="4">
        <v>7209</v>
      </c>
      <c r="H372" s="7">
        <f t="shared" si="15"/>
        <v>9</v>
      </c>
      <c r="I372" s="9">
        <f t="shared" si="16"/>
        <v>1.25E-3</v>
      </c>
      <c r="J372" t="str">
        <f t="shared" si="17"/>
        <v>Unfavourable</v>
      </c>
    </row>
    <row r="373" spans="1:10" x14ac:dyDescent="0.5">
      <c r="A373" t="s">
        <v>17</v>
      </c>
      <c r="B373" t="str">
        <f>CHOOSE(MATCH(A373,{"Jan","Feb","Mar","Apr","May","Jun","Jul","Aug","Sep","Oct","Nov","Dec"},0), "Q1","Q1","Q1", "Q2","Q2","Q2", "Q3","Q3","Q3", "Q4","Q4","Q4")</f>
        <v>Q4</v>
      </c>
      <c r="C373" t="s">
        <v>23</v>
      </c>
      <c r="D373" t="s">
        <v>44</v>
      </c>
      <c r="E373" t="s">
        <v>43</v>
      </c>
      <c r="F373" s="4">
        <v>10533</v>
      </c>
      <c r="G373" s="4">
        <v>11283</v>
      </c>
      <c r="H373" s="7">
        <f t="shared" si="15"/>
        <v>750</v>
      </c>
      <c r="I373" s="9">
        <f t="shared" si="16"/>
        <v>7.1204784961549417E-2</v>
      </c>
      <c r="J373" t="str">
        <f t="shared" si="17"/>
        <v>Unfavourable</v>
      </c>
    </row>
    <row r="374" spans="1:10" x14ac:dyDescent="0.5">
      <c r="A374" t="s">
        <v>4</v>
      </c>
      <c r="B374" t="str">
        <f>CHOOSE(MATCH(A374,{"Jan","Feb","Mar","Apr","May","Jun","Jul","Aug","Sep","Oct","Nov","Dec"},0), "Q1","Q1","Q1", "Q2","Q2","Q2", "Q3","Q3","Q3", "Q4","Q4","Q4")</f>
        <v>Q1</v>
      </c>
      <c r="C374" t="s">
        <v>23</v>
      </c>
      <c r="D374" t="s">
        <v>30</v>
      </c>
      <c r="E374" t="s">
        <v>43</v>
      </c>
      <c r="F374" s="4">
        <v>6375</v>
      </c>
      <c r="G374" s="4">
        <v>6413</v>
      </c>
      <c r="H374" s="7">
        <f t="shared" si="15"/>
        <v>38</v>
      </c>
      <c r="I374" s="9">
        <f t="shared" si="16"/>
        <v>5.9607843137254903E-3</v>
      </c>
      <c r="J374" t="str">
        <f t="shared" si="17"/>
        <v>Unfavourable</v>
      </c>
    </row>
    <row r="375" spans="1:10" x14ac:dyDescent="0.5">
      <c r="A375" t="s">
        <v>7</v>
      </c>
      <c r="B375" t="str">
        <f>CHOOSE(MATCH(A375,{"Jan","Feb","Mar","Apr","May","Jun","Jul","Aug","Sep","Oct","Nov","Dec"},0), "Q1","Q1","Q1", "Q2","Q2","Q2", "Q3","Q3","Q3", "Q4","Q4","Q4")</f>
        <v>Q1</v>
      </c>
      <c r="C375" t="s">
        <v>23</v>
      </c>
      <c r="D375" t="s">
        <v>30</v>
      </c>
      <c r="E375" t="s">
        <v>43</v>
      </c>
      <c r="F375" s="4">
        <v>6150</v>
      </c>
      <c r="G375" s="4">
        <v>5779</v>
      </c>
      <c r="H375" s="7">
        <f t="shared" si="15"/>
        <v>-371</v>
      </c>
      <c r="I375" s="9">
        <f t="shared" si="16"/>
        <v>-6.0325203252032521E-2</v>
      </c>
      <c r="J375" t="str">
        <f t="shared" si="17"/>
        <v>Favourable</v>
      </c>
    </row>
    <row r="376" spans="1:10" x14ac:dyDescent="0.5">
      <c r="A376" t="s">
        <v>8</v>
      </c>
      <c r="B376" t="str">
        <f>CHOOSE(MATCH(A376,{"Jan","Feb","Mar","Apr","May","Jun","Jul","Aug","Sep","Oct","Nov","Dec"},0), "Q1","Q1","Q1", "Q2","Q2","Q2", "Q3","Q3","Q3", "Q4","Q4","Q4")</f>
        <v>Q1</v>
      </c>
      <c r="C376" t="s">
        <v>23</v>
      </c>
      <c r="D376" t="s">
        <v>30</v>
      </c>
      <c r="E376" t="s">
        <v>43</v>
      </c>
      <c r="F376" s="4">
        <v>6900</v>
      </c>
      <c r="G376" s="4">
        <v>6707</v>
      </c>
      <c r="H376" s="7">
        <f t="shared" si="15"/>
        <v>-193</v>
      </c>
      <c r="I376" s="9">
        <f t="shared" si="16"/>
        <v>-2.7971014492753622E-2</v>
      </c>
      <c r="J376" t="str">
        <f t="shared" si="17"/>
        <v>Favourable</v>
      </c>
    </row>
    <row r="377" spans="1:10" x14ac:dyDescent="0.5">
      <c r="A377" t="s">
        <v>9</v>
      </c>
      <c r="B377" t="str">
        <f>CHOOSE(MATCH(A377,{"Jan","Feb","Mar","Apr","May","Jun","Jul","Aug","Sep","Oct","Nov","Dec"},0), "Q1","Q1","Q1", "Q2","Q2","Q2", "Q3","Q3","Q3", "Q4","Q4","Q4")</f>
        <v>Q2</v>
      </c>
      <c r="C377" t="s">
        <v>23</v>
      </c>
      <c r="D377" t="s">
        <v>30</v>
      </c>
      <c r="E377" t="s">
        <v>43</v>
      </c>
      <c r="F377" s="4">
        <v>7125</v>
      </c>
      <c r="G377" s="4">
        <v>6921</v>
      </c>
      <c r="H377" s="7">
        <f t="shared" si="15"/>
        <v>-204</v>
      </c>
      <c r="I377" s="9">
        <f t="shared" si="16"/>
        <v>-2.8631578947368421E-2</v>
      </c>
      <c r="J377" t="str">
        <f t="shared" si="17"/>
        <v>Favourable</v>
      </c>
    </row>
    <row r="378" spans="1:10" x14ac:dyDescent="0.5">
      <c r="A378" t="s">
        <v>10</v>
      </c>
      <c r="B378" t="str">
        <f>CHOOSE(MATCH(A378,{"Jan","Feb","Mar","Apr","May","Jun","Jul","Aug","Sep","Oct","Nov","Dec"},0), "Q1","Q1","Q1", "Q2","Q2","Q2", "Q3","Q3","Q3", "Q4","Q4","Q4")</f>
        <v>Q2</v>
      </c>
      <c r="C378" t="s">
        <v>23</v>
      </c>
      <c r="D378" t="s">
        <v>30</v>
      </c>
      <c r="E378" t="s">
        <v>43</v>
      </c>
      <c r="F378" s="4">
        <v>7500</v>
      </c>
      <c r="G378" s="4">
        <v>7772</v>
      </c>
      <c r="H378" s="7">
        <f t="shared" si="15"/>
        <v>272</v>
      </c>
      <c r="I378" s="9">
        <f t="shared" si="16"/>
        <v>3.6266666666666669E-2</v>
      </c>
      <c r="J378" t="str">
        <f t="shared" si="17"/>
        <v>Unfavourable</v>
      </c>
    </row>
    <row r="379" spans="1:10" x14ac:dyDescent="0.5">
      <c r="A379" t="s">
        <v>11</v>
      </c>
      <c r="B379" t="str">
        <f>CHOOSE(MATCH(A379,{"Jan","Feb","Mar","Apr","May","Jun","Jul","Aug","Sep","Oct","Nov","Dec"},0), "Q1","Q1","Q1", "Q2","Q2","Q2", "Q3","Q3","Q3", "Q4","Q4","Q4")</f>
        <v>Q2</v>
      </c>
      <c r="C379" t="s">
        <v>23</v>
      </c>
      <c r="D379" t="s">
        <v>30</v>
      </c>
      <c r="E379" t="s">
        <v>43</v>
      </c>
      <c r="F379" s="4">
        <v>7650</v>
      </c>
      <c r="G379" s="4">
        <v>7797</v>
      </c>
      <c r="H379" s="7">
        <f t="shared" si="15"/>
        <v>147</v>
      </c>
      <c r="I379" s="9">
        <f t="shared" si="16"/>
        <v>1.9215686274509803E-2</v>
      </c>
      <c r="J379" t="str">
        <f t="shared" si="17"/>
        <v>Unfavourable</v>
      </c>
    </row>
    <row r="380" spans="1:10" x14ac:dyDescent="0.5">
      <c r="A380" t="s">
        <v>12</v>
      </c>
      <c r="B380" t="str">
        <f>CHOOSE(MATCH(A380,{"Jan","Feb","Mar","Apr","May","Jun","Jul","Aug","Sep","Oct","Nov","Dec"},0), "Q1","Q1","Q1", "Q2","Q2","Q2", "Q3","Q3","Q3", "Q4","Q4","Q4")</f>
        <v>Q3</v>
      </c>
      <c r="C380" t="s">
        <v>23</v>
      </c>
      <c r="D380" t="s">
        <v>30</v>
      </c>
      <c r="E380" t="s">
        <v>43</v>
      </c>
      <c r="F380" s="4">
        <v>6600</v>
      </c>
      <c r="G380" s="4">
        <v>6561</v>
      </c>
      <c r="H380" s="7">
        <f t="shared" si="15"/>
        <v>-39</v>
      </c>
      <c r="I380" s="9">
        <f t="shared" si="16"/>
        <v>-5.909090909090909E-3</v>
      </c>
      <c r="J380" t="str">
        <f t="shared" si="17"/>
        <v>Favourable</v>
      </c>
    </row>
    <row r="381" spans="1:10" x14ac:dyDescent="0.5">
      <c r="A381" t="s">
        <v>13</v>
      </c>
      <c r="B381" t="str">
        <f>CHOOSE(MATCH(A381,{"Jan","Feb","Mar","Apr","May","Jun","Jul","Aug","Sep","Oct","Nov","Dec"},0), "Q1","Q1","Q1", "Q2","Q2","Q2", "Q3","Q3","Q3", "Q4","Q4","Q4")</f>
        <v>Q3</v>
      </c>
      <c r="C381" t="s">
        <v>23</v>
      </c>
      <c r="D381" t="s">
        <v>30</v>
      </c>
      <c r="E381" t="s">
        <v>43</v>
      </c>
      <c r="F381" s="4">
        <v>6375</v>
      </c>
      <c r="G381" s="4">
        <v>6652</v>
      </c>
      <c r="H381" s="7">
        <f t="shared" si="15"/>
        <v>277</v>
      </c>
      <c r="I381" s="9">
        <f t="shared" si="16"/>
        <v>4.3450980392156863E-2</v>
      </c>
      <c r="J381" t="str">
        <f t="shared" si="17"/>
        <v>Unfavourable</v>
      </c>
    </row>
    <row r="382" spans="1:10" x14ac:dyDescent="0.5">
      <c r="A382" t="s">
        <v>14</v>
      </c>
      <c r="B382" t="str">
        <f>CHOOSE(MATCH(A382,{"Jan","Feb","Mar","Apr","May","Jun","Jul","Aug","Sep","Oct","Nov","Dec"},0), "Q1","Q1","Q1", "Q2","Q2","Q2", "Q3","Q3","Q3", "Q4","Q4","Q4")</f>
        <v>Q3</v>
      </c>
      <c r="C382" t="s">
        <v>23</v>
      </c>
      <c r="D382" t="s">
        <v>30</v>
      </c>
      <c r="E382" t="s">
        <v>43</v>
      </c>
      <c r="F382" s="4">
        <v>7500</v>
      </c>
      <c r="G382" s="4">
        <v>7302</v>
      </c>
      <c r="H382" s="7">
        <f t="shared" si="15"/>
        <v>-198</v>
      </c>
      <c r="I382" s="9">
        <f t="shared" si="16"/>
        <v>-2.64E-2</v>
      </c>
      <c r="J382" t="str">
        <f t="shared" si="17"/>
        <v>Favourable</v>
      </c>
    </row>
    <row r="383" spans="1:10" x14ac:dyDescent="0.5">
      <c r="A383" t="s">
        <v>15</v>
      </c>
      <c r="B383" t="str">
        <f>CHOOSE(MATCH(A383,{"Jan","Feb","Mar","Apr","May","Jun","Jul","Aug","Sep","Oct","Nov","Dec"},0), "Q1","Q1","Q1", "Q2","Q2","Q2", "Q3","Q3","Q3", "Q4","Q4","Q4")</f>
        <v>Q4</v>
      </c>
      <c r="C383" t="s">
        <v>23</v>
      </c>
      <c r="D383" t="s">
        <v>30</v>
      </c>
      <c r="E383" t="s">
        <v>43</v>
      </c>
      <c r="F383" s="4">
        <v>7875</v>
      </c>
      <c r="G383" s="4">
        <v>7821</v>
      </c>
      <c r="H383" s="7">
        <f t="shared" si="15"/>
        <v>-54</v>
      </c>
      <c r="I383" s="9">
        <f t="shared" si="16"/>
        <v>-6.8571428571428568E-3</v>
      </c>
      <c r="J383" t="str">
        <f t="shared" si="17"/>
        <v>Favourable</v>
      </c>
    </row>
    <row r="384" spans="1:10" x14ac:dyDescent="0.5">
      <c r="A384" t="s">
        <v>16</v>
      </c>
      <c r="B384" t="str">
        <f>CHOOSE(MATCH(A384,{"Jan","Feb","Mar","Apr","May","Jun","Jul","Aug","Sep","Oct","Nov","Dec"},0), "Q1","Q1","Q1", "Q2","Q2","Q2", "Q3","Q3","Q3", "Q4","Q4","Q4")</f>
        <v>Q4</v>
      </c>
      <c r="C384" t="s">
        <v>23</v>
      </c>
      <c r="D384" t="s">
        <v>30</v>
      </c>
      <c r="E384" t="s">
        <v>43</v>
      </c>
      <c r="F384" s="4">
        <v>8100</v>
      </c>
      <c r="G384" s="4">
        <v>8173</v>
      </c>
      <c r="H384" s="7">
        <f t="shared" si="15"/>
        <v>73</v>
      </c>
      <c r="I384" s="9">
        <f t="shared" si="16"/>
        <v>9.0123456790123461E-3</v>
      </c>
      <c r="J384" t="str">
        <f t="shared" si="17"/>
        <v>Unfavourable</v>
      </c>
    </row>
    <row r="385" spans="1:10" x14ac:dyDescent="0.5">
      <c r="A385" t="s">
        <v>17</v>
      </c>
      <c r="B385" t="str">
        <f>CHOOSE(MATCH(A385,{"Jan","Feb","Mar","Apr","May","Jun","Jul","Aug","Sep","Oct","Nov","Dec"},0), "Q1","Q1","Q1", "Q2","Q2","Q2", "Q3","Q3","Q3", "Q4","Q4","Q4")</f>
        <v>Q4</v>
      </c>
      <c r="C385" t="s">
        <v>23</v>
      </c>
      <c r="D385" t="s">
        <v>30</v>
      </c>
      <c r="E385" t="s">
        <v>43</v>
      </c>
      <c r="F385" s="4">
        <v>11850</v>
      </c>
      <c r="G385" s="4">
        <v>12755</v>
      </c>
      <c r="H385" s="7">
        <f t="shared" si="15"/>
        <v>905</v>
      </c>
      <c r="I385" s="9">
        <f t="shared" si="16"/>
        <v>7.6371308016877637E-2</v>
      </c>
      <c r="J385" t="str">
        <f t="shared" si="17"/>
        <v>Unfavourable</v>
      </c>
    </row>
    <row r="386" spans="1:10" x14ac:dyDescent="0.5">
      <c r="A386" t="s">
        <v>4</v>
      </c>
      <c r="B386" t="str">
        <f>CHOOSE(MATCH(A386,{"Jan","Feb","Mar","Apr","May","Jun","Jul","Aug","Sep","Oct","Nov","Dec"},0), "Q1","Q1","Q1", "Q2","Q2","Q2", "Q3","Q3","Q3", "Q4","Q4","Q4")</f>
        <v>Q1</v>
      </c>
      <c r="C386" t="s">
        <v>23</v>
      </c>
      <c r="D386" t="s">
        <v>45</v>
      </c>
      <c r="E386" t="s">
        <v>43</v>
      </c>
      <c r="F386" s="4">
        <v>14167</v>
      </c>
      <c r="G386" s="4">
        <v>14097</v>
      </c>
      <c r="H386" s="7">
        <f t="shared" si="15"/>
        <v>-70</v>
      </c>
      <c r="I386" s="9">
        <f t="shared" si="16"/>
        <v>-4.9410602103479922E-3</v>
      </c>
      <c r="J386" t="str">
        <f t="shared" si="17"/>
        <v>Favourable</v>
      </c>
    </row>
    <row r="387" spans="1:10" x14ac:dyDescent="0.5">
      <c r="A387" t="s">
        <v>7</v>
      </c>
      <c r="B387" t="str">
        <f>CHOOSE(MATCH(A387,{"Jan","Feb","Mar","Apr","May","Jun","Jul","Aug","Sep","Oct","Nov","Dec"},0), "Q1","Q1","Q1", "Q2","Q2","Q2", "Q3","Q3","Q3", "Q4","Q4","Q4")</f>
        <v>Q1</v>
      </c>
      <c r="C387" t="s">
        <v>23</v>
      </c>
      <c r="D387" t="s">
        <v>45</v>
      </c>
      <c r="E387" t="s">
        <v>43</v>
      </c>
      <c r="F387" s="4">
        <v>13667</v>
      </c>
      <c r="G387" s="4">
        <v>13427</v>
      </c>
      <c r="H387" s="7">
        <f t="shared" ref="H387:H450" si="18">G387-F387</f>
        <v>-240</v>
      </c>
      <c r="I387" s="9">
        <f t="shared" ref="I387:I450" si="19">SUM(G387-F387)/F387</f>
        <v>-1.7560547303724298E-2</v>
      </c>
      <c r="J387" t="str">
        <f t="shared" ref="J387:J450" si="20">IF(C387="Revenue",IF(G387&gt;F387,"Favourable","Unfavourable"),IF(G387&lt;F387,"Favourable","Unfavourable"))</f>
        <v>Favourable</v>
      </c>
    </row>
    <row r="388" spans="1:10" x14ac:dyDescent="0.5">
      <c r="A388" t="s">
        <v>8</v>
      </c>
      <c r="B388" t="str">
        <f>CHOOSE(MATCH(A388,{"Jan","Feb","Mar","Apr","May","Jun","Jul","Aug","Sep","Oct","Nov","Dec"},0), "Q1","Q1","Q1", "Q2","Q2","Q2", "Q3","Q3","Q3", "Q4","Q4","Q4")</f>
        <v>Q1</v>
      </c>
      <c r="C388" t="s">
        <v>23</v>
      </c>
      <c r="D388" t="s">
        <v>45</v>
      </c>
      <c r="E388" t="s">
        <v>43</v>
      </c>
      <c r="F388" s="4">
        <v>15333</v>
      </c>
      <c r="G388" s="4">
        <v>14531</v>
      </c>
      <c r="H388" s="7">
        <f t="shared" si="18"/>
        <v>-802</v>
      </c>
      <c r="I388" s="9">
        <f t="shared" si="19"/>
        <v>-5.2305484901845695E-2</v>
      </c>
      <c r="J388" t="str">
        <f t="shared" si="20"/>
        <v>Favourable</v>
      </c>
    </row>
    <row r="389" spans="1:10" x14ac:dyDescent="0.5">
      <c r="A389" t="s">
        <v>9</v>
      </c>
      <c r="B389" t="str">
        <f>CHOOSE(MATCH(A389,{"Jan","Feb","Mar","Apr","May","Jun","Jul","Aug","Sep","Oct","Nov","Dec"},0), "Q1","Q1","Q1", "Q2","Q2","Q2", "Q3","Q3","Q3", "Q4","Q4","Q4")</f>
        <v>Q2</v>
      </c>
      <c r="C389" t="s">
        <v>23</v>
      </c>
      <c r="D389" t="s">
        <v>45</v>
      </c>
      <c r="E389" t="s">
        <v>43</v>
      </c>
      <c r="F389" s="4">
        <v>15833</v>
      </c>
      <c r="G389" s="4">
        <v>16376</v>
      </c>
      <c r="H389" s="7">
        <f t="shared" si="18"/>
        <v>543</v>
      </c>
      <c r="I389" s="9">
        <f t="shared" si="19"/>
        <v>3.4295458851765298E-2</v>
      </c>
      <c r="J389" t="str">
        <f t="shared" si="20"/>
        <v>Unfavourable</v>
      </c>
    </row>
    <row r="390" spans="1:10" x14ac:dyDescent="0.5">
      <c r="A390" t="s">
        <v>10</v>
      </c>
      <c r="B390" t="str">
        <f>CHOOSE(MATCH(A390,{"Jan","Feb","Mar","Apr","May","Jun","Jul","Aug","Sep","Oct","Nov","Dec"},0), "Q1","Q1","Q1", "Q2","Q2","Q2", "Q3","Q3","Q3", "Q4","Q4","Q4")</f>
        <v>Q2</v>
      </c>
      <c r="C390" t="s">
        <v>23</v>
      </c>
      <c r="D390" t="s">
        <v>45</v>
      </c>
      <c r="E390" t="s">
        <v>43</v>
      </c>
      <c r="F390" s="4">
        <v>16667</v>
      </c>
      <c r="G390" s="4">
        <v>16177</v>
      </c>
      <c r="H390" s="7">
        <f t="shared" si="18"/>
        <v>-490</v>
      </c>
      <c r="I390" s="9">
        <f t="shared" si="19"/>
        <v>-2.9399412011759767E-2</v>
      </c>
      <c r="J390" t="str">
        <f t="shared" si="20"/>
        <v>Favourable</v>
      </c>
    </row>
    <row r="391" spans="1:10" x14ac:dyDescent="0.5">
      <c r="A391" t="s">
        <v>11</v>
      </c>
      <c r="B391" t="str">
        <f>CHOOSE(MATCH(A391,{"Jan","Feb","Mar","Apr","May","Jun","Jul","Aug","Sep","Oct","Nov","Dec"},0), "Q1","Q1","Q1", "Q2","Q2","Q2", "Q3","Q3","Q3", "Q4","Q4","Q4")</f>
        <v>Q2</v>
      </c>
      <c r="C391" t="s">
        <v>23</v>
      </c>
      <c r="D391" t="s">
        <v>45</v>
      </c>
      <c r="E391" t="s">
        <v>43</v>
      </c>
      <c r="F391" s="4">
        <v>17000</v>
      </c>
      <c r="G391" s="4">
        <v>17292</v>
      </c>
      <c r="H391" s="7">
        <f t="shared" si="18"/>
        <v>292</v>
      </c>
      <c r="I391" s="9">
        <f t="shared" si="19"/>
        <v>1.7176470588235293E-2</v>
      </c>
      <c r="J391" t="str">
        <f t="shared" si="20"/>
        <v>Unfavourable</v>
      </c>
    </row>
    <row r="392" spans="1:10" x14ac:dyDescent="0.5">
      <c r="A392" t="s">
        <v>12</v>
      </c>
      <c r="B392" t="str">
        <f>CHOOSE(MATCH(A392,{"Jan","Feb","Mar","Apr","May","Jun","Jul","Aug","Sep","Oct","Nov","Dec"},0), "Q1","Q1","Q1", "Q2","Q2","Q2", "Q3","Q3","Q3", "Q4","Q4","Q4")</f>
        <v>Q3</v>
      </c>
      <c r="C392" t="s">
        <v>23</v>
      </c>
      <c r="D392" t="s">
        <v>45</v>
      </c>
      <c r="E392" t="s">
        <v>43</v>
      </c>
      <c r="F392" s="4">
        <v>14667</v>
      </c>
      <c r="G392" s="4">
        <v>13272</v>
      </c>
      <c r="H392" s="7">
        <f t="shared" si="18"/>
        <v>-1395</v>
      </c>
      <c r="I392" s="9">
        <f t="shared" si="19"/>
        <v>-9.5111474739210472E-2</v>
      </c>
      <c r="J392" t="str">
        <f t="shared" si="20"/>
        <v>Favourable</v>
      </c>
    </row>
    <row r="393" spans="1:10" x14ac:dyDescent="0.5">
      <c r="A393" t="s">
        <v>13</v>
      </c>
      <c r="B393" t="str">
        <f>CHOOSE(MATCH(A393,{"Jan","Feb","Mar","Apr","May","Jun","Jul","Aug","Sep","Oct","Nov","Dec"},0), "Q1","Q1","Q1", "Q2","Q2","Q2", "Q3","Q3","Q3", "Q4","Q4","Q4")</f>
        <v>Q3</v>
      </c>
      <c r="C393" t="s">
        <v>23</v>
      </c>
      <c r="D393" t="s">
        <v>45</v>
      </c>
      <c r="E393" t="s">
        <v>43</v>
      </c>
      <c r="F393" s="4">
        <v>14167</v>
      </c>
      <c r="G393" s="4">
        <v>14906</v>
      </c>
      <c r="H393" s="7">
        <f t="shared" si="18"/>
        <v>739</v>
      </c>
      <c r="I393" s="9">
        <f t="shared" si="19"/>
        <v>5.2163478506388083E-2</v>
      </c>
      <c r="J393" t="str">
        <f t="shared" si="20"/>
        <v>Unfavourable</v>
      </c>
    </row>
    <row r="394" spans="1:10" x14ac:dyDescent="0.5">
      <c r="A394" t="s">
        <v>14</v>
      </c>
      <c r="B394" t="str">
        <f>CHOOSE(MATCH(A394,{"Jan","Feb","Mar","Apr","May","Jun","Jul","Aug","Sep","Oct","Nov","Dec"},0), "Q1","Q1","Q1", "Q2","Q2","Q2", "Q3","Q3","Q3", "Q4","Q4","Q4")</f>
        <v>Q3</v>
      </c>
      <c r="C394" t="s">
        <v>23</v>
      </c>
      <c r="D394" t="s">
        <v>45</v>
      </c>
      <c r="E394" t="s">
        <v>43</v>
      </c>
      <c r="F394" s="4">
        <v>16667</v>
      </c>
      <c r="G394" s="4">
        <v>15557</v>
      </c>
      <c r="H394" s="7">
        <f t="shared" si="18"/>
        <v>-1110</v>
      </c>
      <c r="I394" s="9">
        <f t="shared" si="19"/>
        <v>-6.6598668026639468E-2</v>
      </c>
      <c r="J394" t="str">
        <f t="shared" si="20"/>
        <v>Favourable</v>
      </c>
    </row>
    <row r="395" spans="1:10" x14ac:dyDescent="0.5">
      <c r="A395" t="s">
        <v>15</v>
      </c>
      <c r="B395" t="str">
        <f>CHOOSE(MATCH(A395,{"Jan","Feb","Mar","Apr","May","Jun","Jul","Aug","Sep","Oct","Nov","Dec"},0), "Q1","Q1","Q1", "Q2","Q2","Q2", "Q3","Q3","Q3", "Q4","Q4","Q4")</f>
        <v>Q4</v>
      </c>
      <c r="C395" t="s">
        <v>23</v>
      </c>
      <c r="D395" t="s">
        <v>45</v>
      </c>
      <c r="E395" t="s">
        <v>43</v>
      </c>
      <c r="F395" s="4">
        <v>17500</v>
      </c>
      <c r="G395" s="4">
        <v>16820</v>
      </c>
      <c r="H395" s="7">
        <f t="shared" si="18"/>
        <v>-680</v>
      </c>
      <c r="I395" s="9">
        <f t="shared" si="19"/>
        <v>-3.8857142857142854E-2</v>
      </c>
      <c r="J395" t="str">
        <f t="shared" si="20"/>
        <v>Favourable</v>
      </c>
    </row>
    <row r="396" spans="1:10" x14ac:dyDescent="0.5">
      <c r="A396" t="s">
        <v>16</v>
      </c>
      <c r="B396" t="str">
        <f>CHOOSE(MATCH(A396,{"Jan","Feb","Mar","Apr","May","Jun","Jul","Aug","Sep","Oct","Nov","Dec"},0), "Q1","Q1","Q1", "Q2","Q2","Q2", "Q3","Q3","Q3", "Q4","Q4","Q4")</f>
        <v>Q4</v>
      </c>
      <c r="C396" t="s">
        <v>23</v>
      </c>
      <c r="D396" t="s">
        <v>45</v>
      </c>
      <c r="E396" t="s">
        <v>43</v>
      </c>
      <c r="F396" s="4">
        <v>18000</v>
      </c>
      <c r="G396" s="4">
        <v>18953</v>
      </c>
      <c r="H396" s="7">
        <f t="shared" si="18"/>
        <v>953</v>
      </c>
      <c r="I396" s="9">
        <f t="shared" si="19"/>
        <v>5.2944444444444447E-2</v>
      </c>
      <c r="J396" t="str">
        <f t="shared" si="20"/>
        <v>Unfavourable</v>
      </c>
    </row>
    <row r="397" spans="1:10" x14ac:dyDescent="0.5">
      <c r="A397" t="s">
        <v>17</v>
      </c>
      <c r="B397" t="str">
        <f>CHOOSE(MATCH(A397,{"Jan","Feb","Mar","Apr","May","Jun","Jul","Aug","Sep","Oct","Nov","Dec"},0), "Q1","Q1","Q1", "Q2","Q2","Q2", "Q3","Q3","Q3", "Q4","Q4","Q4")</f>
        <v>Q4</v>
      </c>
      <c r="C397" t="s">
        <v>23</v>
      </c>
      <c r="D397" t="s">
        <v>45</v>
      </c>
      <c r="E397" t="s">
        <v>43</v>
      </c>
      <c r="F397" s="4">
        <v>26333</v>
      </c>
      <c r="G397" s="4">
        <v>24576</v>
      </c>
      <c r="H397" s="7">
        <f t="shared" si="18"/>
        <v>-1757</v>
      </c>
      <c r="I397" s="9">
        <f t="shared" si="19"/>
        <v>-6.6722363574222454E-2</v>
      </c>
      <c r="J397" t="str">
        <f t="shared" si="20"/>
        <v>Favourable</v>
      </c>
    </row>
    <row r="398" spans="1:10" x14ac:dyDescent="0.5">
      <c r="A398" t="s">
        <v>4</v>
      </c>
      <c r="B398" t="str">
        <f>CHOOSE(MATCH(A398,{"Jan","Feb","Mar","Apr","May","Jun","Jul","Aug","Sep","Oct","Nov","Dec"},0), "Q1","Q1","Q1", "Q2","Q2","Q2", "Q3","Q3","Q3", "Q4","Q4","Q4")</f>
        <v>Q1</v>
      </c>
      <c r="C398" t="s">
        <v>23</v>
      </c>
      <c r="D398" t="s">
        <v>46</v>
      </c>
      <c r="E398" t="s">
        <v>43</v>
      </c>
      <c r="F398" s="4">
        <v>2550</v>
      </c>
      <c r="G398" s="4">
        <v>2540</v>
      </c>
      <c r="H398" s="7">
        <f t="shared" si="18"/>
        <v>-10</v>
      </c>
      <c r="I398" s="9">
        <f t="shared" si="19"/>
        <v>-3.9215686274509803E-3</v>
      </c>
      <c r="J398" t="str">
        <f t="shared" si="20"/>
        <v>Favourable</v>
      </c>
    </row>
    <row r="399" spans="1:10" x14ac:dyDescent="0.5">
      <c r="A399" t="s">
        <v>7</v>
      </c>
      <c r="B399" t="str">
        <f>CHOOSE(MATCH(A399,{"Jan","Feb","Mar","Apr","May","Jun","Jul","Aug","Sep","Oct","Nov","Dec"},0), "Q1","Q1","Q1", "Q2","Q2","Q2", "Q3","Q3","Q3", "Q4","Q4","Q4")</f>
        <v>Q1</v>
      </c>
      <c r="C399" t="s">
        <v>23</v>
      </c>
      <c r="D399" t="s">
        <v>46</v>
      </c>
      <c r="E399" t="s">
        <v>43</v>
      </c>
      <c r="F399" s="4">
        <v>2460</v>
      </c>
      <c r="G399" s="4">
        <v>2469</v>
      </c>
      <c r="H399" s="7">
        <f t="shared" si="18"/>
        <v>9</v>
      </c>
      <c r="I399" s="9">
        <f t="shared" si="19"/>
        <v>3.6585365853658539E-3</v>
      </c>
      <c r="J399" t="str">
        <f t="shared" si="20"/>
        <v>Unfavourable</v>
      </c>
    </row>
    <row r="400" spans="1:10" x14ac:dyDescent="0.5">
      <c r="A400" t="s">
        <v>8</v>
      </c>
      <c r="B400" t="str">
        <f>CHOOSE(MATCH(A400,{"Jan","Feb","Mar","Apr","May","Jun","Jul","Aug","Sep","Oct","Nov","Dec"},0), "Q1","Q1","Q1", "Q2","Q2","Q2", "Q3","Q3","Q3", "Q4","Q4","Q4")</f>
        <v>Q1</v>
      </c>
      <c r="C400" t="s">
        <v>23</v>
      </c>
      <c r="D400" t="s">
        <v>46</v>
      </c>
      <c r="E400" t="s">
        <v>43</v>
      </c>
      <c r="F400" s="4">
        <v>2760</v>
      </c>
      <c r="G400" s="4">
        <v>2622</v>
      </c>
      <c r="H400" s="7">
        <f t="shared" si="18"/>
        <v>-138</v>
      </c>
      <c r="I400" s="9">
        <f t="shared" si="19"/>
        <v>-0.05</v>
      </c>
      <c r="J400" t="str">
        <f t="shared" si="20"/>
        <v>Favourable</v>
      </c>
    </row>
    <row r="401" spans="1:10" x14ac:dyDescent="0.5">
      <c r="A401" t="s">
        <v>9</v>
      </c>
      <c r="B401" t="str">
        <f>CHOOSE(MATCH(A401,{"Jan","Feb","Mar","Apr","May","Jun","Jul","Aug","Sep","Oct","Nov","Dec"},0), "Q1","Q1","Q1", "Q2","Q2","Q2", "Q3","Q3","Q3", "Q4","Q4","Q4")</f>
        <v>Q2</v>
      </c>
      <c r="C401" t="s">
        <v>23</v>
      </c>
      <c r="D401" t="s">
        <v>46</v>
      </c>
      <c r="E401" t="s">
        <v>43</v>
      </c>
      <c r="F401" s="4">
        <v>2850</v>
      </c>
      <c r="G401" s="4">
        <v>3041</v>
      </c>
      <c r="H401" s="7">
        <f t="shared" si="18"/>
        <v>191</v>
      </c>
      <c r="I401" s="9">
        <f t="shared" si="19"/>
        <v>6.7017543859649129E-2</v>
      </c>
      <c r="J401" t="str">
        <f t="shared" si="20"/>
        <v>Unfavourable</v>
      </c>
    </row>
    <row r="402" spans="1:10" x14ac:dyDescent="0.5">
      <c r="A402" t="s">
        <v>10</v>
      </c>
      <c r="B402" t="str">
        <f>CHOOSE(MATCH(A402,{"Jan","Feb","Mar","Apr","May","Jun","Jul","Aug","Sep","Oct","Nov","Dec"},0), "Q1","Q1","Q1", "Q2","Q2","Q2", "Q3","Q3","Q3", "Q4","Q4","Q4")</f>
        <v>Q2</v>
      </c>
      <c r="C402" t="s">
        <v>23</v>
      </c>
      <c r="D402" t="s">
        <v>46</v>
      </c>
      <c r="E402" t="s">
        <v>43</v>
      </c>
      <c r="F402" s="4">
        <v>3000</v>
      </c>
      <c r="G402" s="4">
        <v>3225</v>
      </c>
      <c r="H402" s="7">
        <f t="shared" si="18"/>
        <v>225</v>
      </c>
      <c r="I402" s="9">
        <f t="shared" si="19"/>
        <v>7.4999999999999997E-2</v>
      </c>
      <c r="J402" t="str">
        <f t="shared" si="20"/>
        <v>Unfavourable</v>
      </c>
    </row>
    <row r="403" spans="1:10" x14ac:dyDescent="0.5">
      <c r="A403" t="s">
        <v>11</v>
      </c>
      <c r="B403" t="str">
        <f>CHOOSE(MATCH(A403,{"Jan","Feb","Mar","Apr","May","Jun","Jul","Aug","Sep","Oct","Nov","Dec"},0), "Q1","Q1","Q1", "Q2","Q2","Q2", "Q3","Q3","Q3", "Q4","Q4","Q4")</f>
        <v>Q2</v>
      </c>
      <c r="C403" t="s">
        <v>23</v>
      </c>
      <c r="D403" t="s">
        <v>46</v>
      </c>
      <c r="E403" t="s">
        <v>43</v>
      </c>
      <c r="F403" s="4">
        <v>3060</v>
      </c>
      <c r="G403" s="4">
        <v>2758</v>
      </c>
      <c r="H403" s="7">
        <f t="shared" si="18"/>
        <v>-302</v>
      </c>
      <c r="I403" s="9">
        <f t="shared" si="19"/>
        <v>-9.8692810457516336E-2</v>
      </c>
      <c r="J403" t="str">
        <f t="shared" si="20"/>
        <v>Favourable</v>
      </c>
    </row>
    <row r="404" spans="1:10" x14ac:dyDescent="0.5">
      <c r="A404" t="s">
        <v>12</v>
      </c>
      <c r="B404" t="str">
        <f>CHOOSE(MATCH(A404,{"Jan","Feb","Mar","Apr","May","Jun","Jul","Aug","Sep","Oct","Nov","Dec"},0), "Q1","Q1","Q1", "Q2","Q2","Q2", "Q3","Q3","Q3", "Q4","Q4","Q4")</f>
        <v>Q3</v>
      </c>
      <c r="C404" t="s">
        <v>23</v>
      </c>
      <c r="D404" t="s">
        <v>46</v>
      </c>
      <c r="E404" t="s">
        <v>43</v>
      </c>
      <c r="F404" s="4">
        <v>2640</v>
      </c>
      <c r="G404" s="4">
        <v>2449</v>
      </c>
      <c r="H404" s="7">
        <f t="shared" si="18"/>
        <v>-191</v>
      </c>
      <c r="I404" s="9">
        <f t="shared" si="19"/>
        <v>-7.2348484848484843E-2</v>
      </c>
      <c r="J404" t="str">
        <f t="shared" si="20"/>
        <v>Favourable</v>
      </c>
    </row>
    <row r="405" spans="1:10" x14ac:dyDescent="0.5">
      <c r="A405" t="s">
        <v>13</v>
      </c>
      <c r="B405" t="str">
        <f>CHOOSE(MATCH(A405,{"Jan","Feb","Mar","Apr","May","Jun","Jul","Aug","Sep","Oct","Nov","Dec"},0), "Q1","Q1","Q1", "Q2","Q2","Q2", "Q3","Q3","Q3", "Q4","Q4","Q4")</f>
        <v>Q3</v>
      </c>
      <c r="C405" t="s">
        <v>23</v>
      </c>
      <c r="D405" t="s">
        <v>46</v>
      </c>
      <c r="E405" t="s">
        <v>43</v>
      </c>
      <c r="F405" s="4">
        <v>2550</v>
      </c>
      <c r="G405" s="4">
        <v>2653</v>
      </c>
      <c r="H405" s="7">
        <f t="shared" si="18"/>
        <v>103</v>
      </c>
      <c r="I405" s="9">
        <f t="shared" si="19"/>
        <v>4.0392156862745096E-2</v>
      </c>
      <c r="J405" t="str">
        <f t="shared" si="20"/>
        <v>Unfavourable</v>
      </c>
    </row>
    <row r="406" spans="1:10" x14ac:dyDescent="0.5">
      <c r="A406" t="s">
        <v>14</v>
      </c>
      <c r="B406" t="str">
        <f>CHOOSE(MATCH(A406,{"Jan","Feb","Mar","Apr","May","Jun","Jul","Aug","Sep","Oct","Nov","Dec"},0), "Q1","Q1","Q1", "Q2","Q2","Q2", "Q3","Q3","Q3", "Q4","Q4","Q4")</f>
        <v>Q3</v>
      </c>
      <c r="C406" t="s">
        <v>23</v>
      </c>
      <c r="D406" t="s">
        <v>46</v>
      </c>
      <c r="E406" t="s">
        <v>43</v>
      </c>
      <c r="F406" s="4">
        <v>3000</v>
      </c>
      <c r="G406" s="4">
        <v>2805</v>
      </c>
      <c r="H406" s="7">
        <f t="shared" si="18"/>
        <v>-195</v>
      </c>
      <c r="I406" s="9">
        <f t="shared" si="19"/>
        <v>-6.5000000000000002E-2</v>
      </c>
      <c r="J406" t="str">
        <f t="shared" si="20"/>
        <v>Favourable</v>
      </c>
    </row>
    <row r="407" spans="1:10" x14ac:dyDescent="0.5">
      <c r="A407" t="s">
        <v>15</v>
      </c>
      <c r="B407" t="str">
        <f>CHOOSE(MATCH(A407,{"Jan","Feb","Mar","Apr","May","Jun","Jul","Aug","Sep","Oct","Nov","Dec"},0), "Q1","Q1","Q1", "Q2","Q2","Q2", "Q3","Q3","Q3", "Q4","Q4","Q4")</f>
        <v>Q4</v>
      </c>
      <c r="C407" t="s">
        <v>23</v>
      </c>
      <c r="D407" t="s">
        <v>46</v>
      </c>
      <c r="E407" t="s">
        <v>43</v>
      </c>
      <c r="F407" s="4">
        <v>3150</v>
      </c>
      <c r="G407" s="4">
        <v>3089</v>
      </c>
      <c r="H407" s="7">
        <f t="shared" si="18"/>
        <v>-61</v>
      </c>
      <c r="I407" s="9">
        <f t="shared" si="19"/>
        <v>-1.9365079365079366E-2</v>
      </c>
      <c r="J407" t="str">
        <f t="shared" si="20"/>
        <v>Favourable</v>
      </c>
    </row>
    <row r="408" spans="1:10" x14ac:dyDescent="0.5">
      <c r="A408" t="s">
        <v>16</v>
      </c>
      <c r="B408" t="str">
        <f>CHOOSE(MATCH(A408,{"Jan","Feb","Mar","Apr","May","Jun","Jul","Aug","Sep","Oct","Nov","Dec"},0), "Q1","Q1","Q1", "Q2","Q2","Q2", "Q3","Q3","Q3", "Q4","Q4","Q4")</f>
        <v>Q4</v>
      </c>
      <c r="C408" t="s">
        <v>23</v>
      </c>
      <c r="D408" t="s">
        <v>46</v>
      </c>
      <c r="E408" t="s">
        <v>43</v>
      </c>
      <c r="F408" s="4">
        <v>3240</v>
      </c>
      <c r="G408" s="4">
        <v>3261</v>
      </c>
      <c r="H408" s="7">
        <f t="shared" si="18"/>
        <v>21</v>
      </c>
      <c r="I408" s="9">
        <f t="shared" si="19"/>
        <v>6.4814814814814813E-3</v>
      </c>
      <c r="J408" t="str">
        <f t="shared" si="20"/>
        <v>Unfavourable</v>
      </c>
    </row>
    <row r="409" spans="1:10" x14ac:dyDescent="0.5">
      <c r="A409" t="s">
        <v>17</v>
      </c>
      <c r="B409" t="str">
        <f>CHOOSE(MATCH(A409,{"Jan","Feb","Mar","Apr","May","Jun","Jul","Aug","Sep","Oct","Nov","Dec"},0), "Q1","Q1","Q1", "Q2","Q2","Q2", "Q3","Q3","Q3", "Q4","Q4","Q4")</f>
        <v>Q4</v>
      </c>
      <c r="C409" t="s">
        <v>23</v>
      </c>
      <c r="D409" t="s">
        <v>46</v>
      </c>
      <c r="E409" t="s">
        <v>43</v>
      </c>
      <c r="F409" s="4">
        <v>4740</v>
      </c>
      <c r="G409" s="4">
        <v>4904</v>
      </c>
      <c r="H409" s="7">
        <f t="shared" si="18"/>
        <v>164</v>
      </c>
      <c r="I409" s="9">
        <f t="shared" si="19"/>
        <v>3.4599156118143459E-2</v>
      </c>
      <c r="J409" t="str">
        <f t="shared" si="20"/>
        <v>Unfavourable</v>
      </c>
    </row>
    <row r="410" spans="1:10" x14ac:dyDescent="0.5">
      <c r="A410" t="s">
        <v>4</v>
      </c>
      <c r="B410" t="str">
        <f>CHOOSE(MATCH(A410,{"Jan","Feb","Mar","Apr","May","Jun","Jul","Aug","Sep","Oct","Nov","Dec"},0), "Q1","Q1","Q1", "Q2","Q2","Q2", "Q3","Q3","Q3", "Q4","Q4","Q4")</f>
        <v>Q1</v>
      </c>
      <c r="C410" t="s">
        <v>23</v>
      </c>
      <c r="D410" t="s">
        <v>32</v>
      </c>
      <c r="E410" t="s">
        <v>43</v>
      </c>
      <c r="F410" s="4">
        <v>850</v>
      </c>
      <c r="G410" s="4">
        <v>860</v>
      </c>
      <c r="H410" s="7">
        <f t="shared" si="18"/>
        <v>10</v>
      </c>
      <c r="I410" s="9">
        <f t="shared" si="19"/>
        <v>1.1764705882352941E-2</v>
      </c>
      <c r="J410" t="str">
        <f t="shared" si="20"/>
        <v>Unfavourable</v>
      </c>
    </row>
    <row r="411" spans="1:10" x14ac:dyDescent="0.5">
      <c r="A411" t="s">
        <v>7</v>
      </c>
      <c r="B411" t="str">
        <f>CHOOSE(MATCH(A411,{"Jan","Feb","Mar","Apr","May","Jun","Jul","Aug","Sep","Oct","Nov","Dec"},0), "Q1","Q1","Q1", "Q2","Q2","Q2", "Q3","Q3","Q3", "Q4","Q4","Q4")</f>
        <v>Q1</v>
      </c>
      <c r="C411" t="s">
        <v>23</v>
      </c>
      <c r="D411" t="s">
        <v>32</v>
      </c>
      <c r="E411" t="s">
        <v>43</v>
      </c>
      <c r="F411" s="4">
        <v>820</v>
      </c>
      <c r="G411" s="4">
        <v>947</v>
      </c>
      <c r="H411" s="7">
        <f t="shared" si="18"/>
        <v>127</v>
      </c>
      <c r="I411" s="9">
        <f t="shared" si="19"/>
        <v>0.1548780487804878</v>
      </c>
      <c r="J411" t="str">
        <f t="shared" si="20"/>
        <v>Unfavourable</v>
      </c>
    </row>
    <row r="412" spans="1:10" x14ac:dyDescent="0.5">
      <c r="A412" t="s">
        <v>8</v>
      </c>
      <c r="B412" t="str">
        <f>CHOOSE(MATCH(A412,{"Jan","Feb","Mar","Apr","May","Jun","Jul","Aug","Sep","Oct","Nov","Dec"},0), "Q1","Q1","Q1", "Q2","Q2","Q2", "Q3","Q3","Q3", "Q4","Q4","Q4")</f>
        <v>Q1</v>
      </c>
      <c r="C412" t="s">
        <v>23</v>
      </c>
      <c r="D412" t="s">
        <v>32</v>
      </c>
      <c r="E412" t="s">
        <v>43</v>
      </c>
      <c r="F412" s="4">
        <v>920</v>
      </c>
      <c r="G412" s="4">
        <v>958</v>
      </c>
      <c r="H412" s="7">
        <f t="shared" si="18"/>
        <v>38</v>
      </c>
      <c r="I412" s="9">
        <f t="shared" si="19"/>
        <v>4.1304347826086954E-2</v>
      </c>
      <c r="J412" t="str">
        <f t="shared" si="20"/>
        <v>Unfavourable</v>
      </c>
    </row>
    <row r="413" spans="1:10" x14ac:dyDescent="0.5">
      <c r="A413" t="s">
        <v>9</v>
      </c>
      <c r="B413" t="str">
        <f>CHOOSE(MATCH(A413,{"Jan","Feb","Mar","Apr","May","Jun","Jul","Aug","Sep","Oct","Nov","Dec"},0), "Q1","Q1","Q1", "Q2","Q2","Q2", "Q3","Q3","Q3", "Q4","Q4","Q4")</f>
        <v>Q2</v>
      </c>
      <c r="C413" t="s">
        <v>23</v>
      </c>
      <c r="D413" t="s">
        <v>32</v>
      </c>
      <c r="E413" t="s">
        <v>43</v>
      </c>
      <c r="F413" s="4">
        <v>950</v>
      </c>
      <c r="G413" s="4">
        <v>962</v>
      </c>
      <c r="H413" s="7">
        <f t="shared" si="18"/>
        <v>12</v>
      </c>
      <c r="I413" s="9">
        <f t="shared" si="19"/>
        <v>1.2631578947368421E-2</v>
      </c>
      <c r="J413" t="str">
        <f t="shared" si="20"/>
        <v>Unfavourable</v>
      </c>
    </row>
    <row r="414" spans="1:10" x14ac:dyDescent="0.5">
      <c r="A414" t="s">
        <v>10</v>
      </c>
      <c r="B414" t="str">
        <f>CHOOSE(MATCH(A414,{"Jan","Feb","Mar","Apr","May","Jun","Jul","Aug","Sep","Oct","Nov","Dec"},0), "Q1","Q1","Q1", "Q2","Q2","Q2", "Q3","Q3","Q3", "Q4","Q4","Q4")</f>
        <v>Q2</v>
      </c>
      <c r="C414" t="s">
        <v>23</v>
      </c>
      <c r="D414" t="s">
        <v>32</v>
      </c>
      <c r="E414" t="s">
        <v>43</v>
      </c>
      <c r="F414" s="4">
        <v>1000</v>
      </c>
      <c r="G414" s="4">
        <v>981</v>
      </c>
      <c r="H414" s="7">
        <f t="shared" si="18"/>
        <v>-19</v>
      </c>
      <c r="I414" s="9">
        <f t="shared" si="19"/>
        <v>-1.9E-2</v>
      </c>
      <c r="J414" t="str">
        <f t="shared" si="20"/>
        <v>Favourable</v>
      </c>
    </row>
    <row r="415" spans="1:10" x14ac:dyDescent="0.5">
      <c r="A415" t="s">
        <v>11</v>
      </c>
      <c r="B415" t="str">
        <f>CHOOSE(MATCH(A415,{"Jan","Feb","Mar","Apr","May","Jun","Jul","Aug","Sep","Oct","Nov","Dec"},0), "Q1","Q1","Q1", "Q2","Q2","Q2", "Q3","Q3","Q3", "Q4","Q4","Q4")</f>
        <v>Q2</v>
      </c>
      <c r="C415" t="s">
        <v>23</v>
      </c>
      <c r="D415" t="s">
        <v>32</v>
      </c>
      <c r="E415" t="s">
        <v>43</v>
      </c>
      <c r="F415" s="4">
        <v>1020</v>
      </c>
      <c r="G415" s="4">
        <v>1117</v>
      </c>
      <c r="H415" s="7">
        <f t="shared" si="18"/>
        <v>97</v>
      </c>
      <c r="I415" s="9">
        <f t="shared" si="19"/>
        <v>9.509803921568627E-2</v>
      </c>
      <c r="J415" t="str">
        <f t="shared" si="20"/>
        <v>Unfavourable</v>
      </c>
    </row>
    <row r="416" spans="1:10" x14ac:dyDescent="0.5">
      <c r="A416" t="s">
        <v>12</v>
      </c>
      <c r="B416" t="str">
        <f>CHOOSE(MATCH(A416,{"Jan","Feb","Mar","Apr","May","Jun","Jul","Aug","Sep","Oct","Nov","Dec"},0), "Q1","Q1","Q1", "Q2","Q2","Q2", "Q3","Q3","Q3", "Q4","Q4","Q4")</f>
        <v>Q3</v>
      </c>
      <c r="C416" t="s">
        <v>23</v>
      </c>
      <c r="D416" t="s">
        <v>32</v>
      </c>
      <c r="E416" t="s">
        <v>43</v>
      </c>
      <c r="F416" s="4">
        <v>880</v>
      </c>
      <c r="G416" s="4">
        <v>906</v>
      </c>
      <c r="H416" s="7">
        <f t="shared" si="18"/>
        <v>26</v>
      </c>
      <c r="I416" s="9">
        <f t="shared" si="19"/>
        <v>2.9545454545454545E-2</v>
      </c>
      <c r="J416" t="str">
        <f t="shared" si="20"/>
        <v>Unfavourable</v>
      </c>
    </row>
    <row r="417" spans="1:10" x14ac:dyDescent="0.5">
      <c r="A417" t="s">
        <v>13</v>
      </c>
      <c r="B417" t="str">
        <f>CHOOSE(MATCH(A417,{"Jan","Feb","Mar","Apr","May","Jun","Jul","Aug","Sep","Oct","Nov","Dec"},0), "Q1","Q1","Q1", "Q2","Q2","Q2", "Q3","Q3","Q3", "Q4","Q4","Q4")</f>
        <v>Q3</v>
      </c>
      <c r="C417" t="s">
        <v>23</v>
      </c>
      <c r="D417" t="s">
        <v>32</v>
      </c>
      <c r="E417" t="s">
        <v>43</v>
      </c>
      <c r="F417" s="4">
        <v>850</v>
      </c>
      <c r="G417" s="4">
        <v>935</v>
      </c>
      <c r="H417" s="7">
        <f t="shared" si="18"/>
        <v>85</v>
      </c>
      <c r="I417" s="9">
        <f t="shared" si="19"/>
        <v>0.1</v>
      </c>
      <c r="J417" t="str">
        <f t="shared" si="20"/>
        <v>Unfavourable</v>
      </c>
    </row>
    <row r="418" spans="1:10" x14ac:dyDescent="0.5">
      <c r="A418" t="s">
        <v>14</v>
      </c>
      <c r="B418" t="str">
        <f>CHOOSE(MATCH(A418,{"Jan","Feb","Mar","Apr","May","Jun","Jul","Aug","Sep","Oct","Nov","Dec"},0), "Q1","Q1","Q1", "Q2","Q2","Q2", "Q3","Q3","Q3", "Q4","Q4","Q4")</f>
        <v>Q3</v>
      </c>
      <c r="C418" t="s">
        <v>23</v>
      </c>
      <c r="D418" t="s">
        <v>32</v>
      </c>
      <c r="E418" t="s">
        <v>43</v>
      </c>
      <c r="F418" s="4">
        <v>1000</v>
      </c>
      <c r="G418" s="4">
        <v>1036</v>
      </c>
      <c r="H418" s="7">
        <f t="shared" si="18"/>
        <v>36</v>
      </c>
      <c r="I418" s="9">
        <f t="shared" si="19"/>
        <v>3.5999999999999997E-2</v>
      </c>
      <c r="J418" t="str">
        <f t="shared" si="20"/>
        <v>Unfavourable</v>
      </c>
    </row>
    <row r="419" spans="1:10" x14ac:dyDescent="0.5">
      <c r="A419" t="s">
        <v>15</v>
      </c>
      <c r="B419" t="str">
        <f>CHOOSE(MATCH(A419,{"Jan","Feb","Mar","Apr","May","Jun","Jul","Aug","Sep","Oct","Nov","Dec"},0), "Q1","Q1","Q1", "Q2","Q2","Q2", "Q3","Q3","Q3", "Q4","Q4","Q4")</f>
        <v>Q4</v>
      </c>
      <c r="C419" t="s">
        <v>23</v>
      </c>
      <c r="D419" t="s">
        <v>32</v>
      </c>
      <c r="E419" t="s">
        <v>43</v>
      </c>
      <c r="F419" s="4">
        <v>1050</v>
      </c>
      <c r="G419" s="4">
        <v>1159</v>
      </c>
      <c r="H419" s="7">
        <f t="shared" si="18"/>
        <v>109</v>
      </c>
      <c r="I419" s="9">
        <f t="shared" si="19"/>
        <v>0.10380952380952381</v>
      </c>
      <c r="J419" t="str">
        <f t="shared" si="20"/>
        <v>Unfavourable</v>
      </c>
    </row>
    <row r="420" spans="1:10" x14ac:dyDescent="0.5">
      <c r="A420" t="s">
        <v>16</v>
      </c>
      <c r="B420" t="str">
        <f>CHOOSE(MATCH(A420,{"Jan","Feb","Mar","Apr","May","Jun","Jul","Aug","Sep","Oct","Nov","Dec"},0), "Q1","Q1","Q1", "Q2","Q2","Q2", "Q3","Q3","Q3", "Q4","Q4","Q4")</f>
        <v>Q4</v>
      </c>
      <c r="C420" t="s">
        <v>23</v>
      </c>
      <c r="D420" t="s">
        <v>32</v>
      </c>
      <c r="E420" t="s">
        <v>43</v>
      </c>
      <c r="F420" s="4">
        <v>1080</v>
      </c>
      <c r="G420" s="4">
        <v>954</v>
      </c>
      <c r="H420" s="7">
        <f t="shared" si="18"/>
        <v>-126</v>
      </c>
      <c r="I420" s="9">
        <f t="shared" si="19"/>
        <v>-0.11666666666666667</v>
      </c>
      <c r="J420" t="str">
        <f t="shared" si="20"/>
        <v>Favourable</v>
      </c>
    </row>
    <row r="421" spans="1:10" x14ac:dyDescent="0.5">
      <c r="A421" t="s">
        <v>17</v>
      </c>
      <c r="B421" t="str">
        <f>CHOOSE(MATCH(A421,{"Jan","Feb","Mar","Apr","May","Jun","Jul","Aug","Sep","Oct","Nov","Dec"},0), "Q1","Q1","Q1", "Q2","Q2","Q2", "Q3","Q3","Q3", "Q4","Q4","Q4")</f>
        <v>Q4</v>
      </c>
      <c r="C421" t="s">
        <v>23</v>
      </c>
      <c r="D421" t="s">
        <v>32</v>
      </c>
      <c r="E421" t="s">
        <v>43</v>
      </c>
      <c r="F421" s="4">
        <v>1580</v>
      </c>
      <c r="G421" s="4">
        <v>1222</v>
      </c>
      <c r="H421" s="7">
        <f t="shared" si="18"/>
        <v>-358</v>
      </c>
      <c r="I421" s="9">
        <f t="shared" si="19"/>
        <v>-0.22658227848101264</v>
      </c>
      <c r="J421" t="str">
        <f t="shared" si="20"/>
        <v>Favourable</v>
      </c>
    </row>
    <row r="422" spans="1:10" x14ac:dyDescent="0.5">
      <c r="A422" t="s">
        <v>4</v>
      </c>
      <c r="B422" t="str">
        <f>CHOOSE(MATCH(A422,{"Jan","Feb","Mar","Apr","May","Jun","Jul","Aug","Sep","Oct","Nov","Dec"},0), "Q1","Q1","Q1", "Q2","Q2","Q2", "Q3","Q3","Q3", "Q4","Q4","Q4")</f>
        <v>Q1</v>
      </c>
      <c r="C422" t="s">
        <v>23</v>
      </c>
      <c r="D422" t="s">
        <v>25</v>
      </c>
      <c r="E422" t="s">
        <v>47</v>
      </c>
      <c r="F422" s="4">
        <v>99167</v>
      </c>
      <c r="G422" s="4">
        <v>99577</v>
      </c>
      <c r="H422" s="7">
        <f t="shared" si="18"/>
        <v>410</v>
      </c>
      <c r="I422" s="9">
        <f t="shared" si="19"/>
        <v>4.1344398842356831E-3</v>
      </c>
      <c r="J422" t="str">
        <f t="shared" si="20"/>
        <v>Unfavourable</v>
      </c>
    </row>
    <row r="423" spans="1:10" x14ac:dyDescent="0.5">
      <c r="A423" t="s">
        <v>7</v>
      </c>
      <c r="B423" t="str">
        <f>CHOOSE(MATCH(A423,{"Jan","Feb","Mar","Apr","May","Jun","Jul","Aug","Sep","Oct","Nov","Dec"},0), "Q1","Q1","Q1", "Q2","Q2","Q2", "Q3","Q3","Q3", "Q4","Q4","Q4")</f>
        <v>Q1</v>
      </c>
      <c r="C423" t="s">
        <v>23</v>
      </c>
      <c r="D423" t="s">
        <v>25</v>
      </c>
      <c r="E423" t="s">
        <v>47</v>
      </c>
      <c r="F423" s="4">
        <v>95667</v>
      </c>
      <c r="G423" s="4">
        <v>95812</v>
      </c>
      <c r="H423" s="7">
        <f t="shared" si="18"/>
        <v>145</v>
      </c>
      <c r="I423" s="9">
        <f t="shared" si="19"/>
        <v>1.5156741614140716E-3</v>
      </c>
      <c r="J423" t="str">
        <f t="shared" si="20"/>
        <v>Unfavourable</v>
      </c>
    </row>
    <row r="424" spans="1:10" x14ac:dyDescent="0.5">
      <c r="A424" t="s">
        <v>8</v>
      </c>
      <c r="B424" t="str">
        <f>CHOOSE(MATCH(A424,{"Jan","Feb","Mar","Apr","May","Jun","Jul","Aug","Sep","Oct","Nov","Dec"},0), "Q1","Q1","Q1", "Q2","Q2","Q2", "Q3","Q3","Q3", "Q4","Q4","Q4")</f>
        <v>Q1</v>
      </c>
      <c r="C424" t="s">
        <v>23</v>
      </c>
      <c r="D424" t="s">
        <v>25</v>
      </c>
      <c r="E424" t="s">
        <v>47</v>
      </c>
      <c r="F424" s="4">
        <v>107333</v>
      </c>
      <c r="G424" s="4">
        <v>107332</v>
      </c>
      <c r="H424" s="7">
        <f t="shared" si="18"/>
        <v>-1</v>
      </c>
      <c r="I424" s="9">
        <f t="shared" si="19"/>
        <v>-9.3167991204941629E-6</v>
      </c>
      <c r="J424" t="str">
        <f t="shared" si="20"/>
        <v>Favourable</v>
      </c>
    </row>
    <row r="425" spans="1:10" x14ac:dyDescent="0.5">
      <c r="A425" t="s">
        <v>9</v>
      </c>
      <c r="B425" t="str">
        <f>CHOOSE(MATCH(A425,{"Jan","Feb","Mar","Apr","May","Jun","Jul","Aug","Sep","Oct","Nov","Dec"},0), "Q1","Q1","Q1", "Q2","Q2","Q2", "Q3","Q3","Q3", "Q4","Q4","Q4")</f>
        <v>Q2</v>
      </c>
      <c r="C425" t="s">
        <v>23</v>
      </c>
      <c r="D425" t="s">
        <v>25</v>
      </c>
      <c r="E425" t="s">
        <v>47</v>
      </c>
      <c r="F425" s="4">
        <v>110833</v>
      </c>
      <c r="G425" s="4">
        <v>109269</v>
      </c>
      <c r="H425" s="7">
        <f t="shared" si="18"/>
        <v>-1564</v>
      </c>
      <c r="I425" s="9">
        <f t="shared" si="19"/>
        <v>-1.4111320635550784E-2</v>
      </c>
      <c r="J425" t="str">
        <f t="shared" si="20"/>
        <v>Favourable</v>
      </c>
    </row>
    <row r="426" spans="1:10" x14ac:dyDescent="0.5">
      <c r="A426" t="s">
        <v>10</v>
      </c>
      <c r="B426" t="str">
        <f>CHOOSE(MATCH(A426,{"Jan","Feb","Mar","Apr","May","Jun","Jul","Aug","Sep","Oct","Nov","Dec"},0), "Q1","Q1","Q1", "Q2","Q2","Q2", "Q3","Q3","Q3", "Q4","Q4","Q4")</f>
        <v>Q2</v>
      </c>
      <c r="C426" t="s">
        <v>23</v>
      </c>
      <c r="D426" t="s">
        <v>25</v>
      </c>
      <c r="E426" t="s">
        <v>47</v>
      </c>
      <c r="F426" s="4">
        <v>116667</v>
      </c>
      <c r="G426" s="4">
        <v>115073</v>
      </c>
      <c r="H426" s="7">
        <f t="shared" si="18"/>
        <v>-1594</v>
      </c>
      <c r="I426" s="9">
        <f t="shared" si="19"/>
        <v>-1.3662818106233982E-2</v>
      </c>
      <c r="J426" t="str">
        <f t="shared" si="20"/>
        <v>Favourable</v>
      </c>
    </row>
    <row r="427" spans="1:10" x14ac:dyDescent="0.5">
      <c r="A427" t="s">
        <v>11</v>
      </c>
      <c r="B427" t="str">
        <f>CHOOSE(MATCH(A427,{"Jan","Feb","Mar","Apr","May","Jun","Jul","Aug","Sep","Oct","Nov","Dec"},0), "Q1","Q1","Q1", "Q2","Q2","Q2", "Q3","Q3","Q3", "Q4","Q4","Q4")</f>
        <v>Q2</v>
      </c>
      <c r="C427" t="s">
        <v>23</v>
      </c>
      <c r="D427" t="s">
        <v>25</v>
      </c>
      <c r="E427" t="s">
        <v>47</v>
      </c>
      <c r="F427" s="4">
        <v>119000</v>
      </c>
      <c r="G427" s="4">
        <v>118753</v>
      </c>
      <c r="H427" s="7">
        <f t="shared" si="18"/>
        <v>-247</v>
      </c>
      <c r="I427" s="9">
        <f t="shared" si="19"/>
        <v>-2.0756302521008404E-3</v>
      </c>
      <c r="J427" t="str">
        <f t="shared" si="20"/>
        <v>Favourable</v>
      </c>
    </row>
    <row r="428" spans="1:10" x14ac:dyDescent="0.5">
      <c r="A428" t="s">
        <v>12</v>
      </c>
      <c r="B428" t="str">
        <f>CHOOSE(MATCH(A428,{"Jan","Feb","Mar","Apr","May","Jun","Jul","Aug","Sep","Oct","Nov","Dec"},0), "Q1","Q1","Q1", "Q2","Q2","Q2", "Q3","Q3","Q3", "Q4","Q4","Q4")</f>
        <v>Q3</v>
      </c>
      <c r="C428" t="s">
        <v>23</v>
      </c>
      <c r="D428" t="s">
        <v>25</v>
      </c>
      <c r="E428" t="s">
        <v>47</v>
      </c>
      <c r="F428" s="4">
        <v>102667</v>
      </c>
      <c r="G428" s="4">
        <v>102742</v>
      </c>
      <c r="H428" s="7">
        <f t="shared" si="18"/>
        <v>75</v>
      </c>
      <c r="I428" s="9">
        <f t="shared" si="19"/>
        <v>7.3051710871068604E-4</v>
      </c>
      <c r="J428" t="str">
        <f t="shared" si="20"/>
        <v>Unfavourable</v>
      </c>
    </row>
    <row r="429" spans="1:10" x14ac:dyDescent="0.5">
      <c r="A429" t="s">
        <v>13</v>
      </c>
      <c r="B429" t="str">
        <f>CHOOSE(MATCH(A429,{"Jan","Feb","Mar","Apr","May","Jun","Jul","Aug","Sep","Oct","Nov","Dec"},0), "Q1","Q1","Q1", "Q2","Q2","Q2", "Q3","Q3","Q3", "Q4","Q4","Q4")</f>
        <v>Q3</v>
      </c>
      <c r="C429" t="s">
        <v>23</v>
      </c>
      <c r="D429" t="s">
        <v>25</v>
      </c>
      <c r="E429" t="s">
        <v>47</v>
      </c>
      <c r="F429" s="4">
        <v>99167</v>
      </c>
      <c r="G429" s="4">
        <v>100218</v>
      </c>
      <c r="H429" s="7">
        <f t="shared" si="18"/>
        <v>1051</v>
      </c>
      <c r="I429" s="9">
        <f t="shared" si="19"/>
        <v>1.0598283703248057E-2</v>
      </c>
      <c r="J429" t="str">
        <f t="shared" si="20"/>
        <v>Unfavourable</v>
      </c>
    </row>
    <row r="430" spans="1:10" x14ac:dyDescent="0.5">
      <c r="A430" t="s">
        <v>14</v>
      </c>
      <c r="B430" t="str">
        <f>CHOOSE(MATCH(A430,{"Jan","Feb","Mar","Apr","May","Jun","Jul","Aug","Sep","Oct","Nov","Dec"},0), "Q1","Q1","Q1", "Q2","Q2","Q2", "Q3","Q3","Q3", "Q4","Q4","Q4")</f>
        <v>Q3</v>
      </c>
      <c r="C430" t="s">
        <v>23</v>
      </c>
      <c r="D430" t="s">
        <v>25</v>
      </c>
      <c r="E430" t="s">
        <v>47</v>
      </c>
      <c r="F430" s="4">
        <v>116667</v>
      </c>
      <c r="G430" s="4">
        <v>116347</v>
      </c>
      <c r="H430" s="7">
        <f t="shared" si="18"/>
        <v>-320</v>
      </c>
      <c r="I430" s="9">
        <f t="shared" si="19"/>
        <v>-2.7428493061448394E-3</v>
      </c>
      <c r="J430" t="str">
        <f t="shared" si="20"/>
        <v>Favourable</v>
      </c>
    </row>
    <row r="431" spans="1:10" x14ac:dyDescent="0.5">
      <c r="A431" t="s">
        <v>15</v>
      </c>
      <c r="B431" t="str">
        <f>CHOOSE(MATCH(A431,{"Jan","Feb","Mar","Apr","May","Jun","Jul","Aug","Sep","Oct","Nov","Dec"},0), "Q1","Q1","Q1", "Q2","Q2","Q2", "Q3","Q3","Q3", "Q4","Q4","Q4")</f>
        <v>Q4</v>
      </c>
      <c r="C431" t="s">
        <v>23</v>
      </c>
      <c r="D431" t="s">
        <v>25</v>
      </c>
      <c r="E431" t="s">
        <v>47</v>
      </c>
      <c r="F431" s="4">
        <v>122500</v>
      </c>
      <c r="G431" s="4">
        <v>120514</v>
      </c>
      <c r="H431" s="7">
        <f t="shared" si="18"/>
        <v>-1986</v>
      </c>
      <c r="I431" s="9">
        <f t="shared" si="19"/>
        <v>-1.6212244897959183E-2</v>
      </c>
      <c r="J431" t="str">
        <f t="shared" si="20"/>
        <v>Favourable</v>
      </c>
    </row>
    <row r="432" spans="1:10" x14ac:dyDescent="0.5">
      <c r="A432" t="s">
        <v>16</v>
      </c>
      <c r="B432" t="str">
        <f>CHOOSE(MATCH(A432,{"Jan","Feb","Mar","Apr","May","Jun","Jul","Aug","Sep","Oct","Nov","Dec"},0), "Q1","Q1","Q1", "Q2","Q2","Q2", "Q3","Q3","Q3", "Q4","Q4","Q4")</f>
        <v>Q4</v>
      </c>
      <c r="C432" t="s">
        <v>23</v>
      </c>
      <c r="D432" t="s">
        <v>25</v>
      </c>
      <c r="E432" t="s">
        <v>47</v>
      </c>
      <c r="F432" s="4">
        <v>126000</v>
      </c>
      <c r="G432" s="4">
        <v>127498</v>
      </c>
      <c r="H432" s="7">
        <f t="shared" si="18"/>
        <v>1498</v>
      </c>
      <c r="I432" s="9">
        <f t="shared" si="19"/>
        <v>1.1888888888888888E-2</v>
      </c>
      <c r="J432" t="str">
        <f t="shared" si="20"/>
        <v>Unfavourable</v>
      </c>
    </row>
    <row r="433" spans="1:10" x14ac:dyDescent="0.5">
      <c r="A433" t="s">
        <v>17</v>
      </c>
      <c r="B433" t="str">
        <f>CHOOSE(MATCH(A433,{"Jan","Feb","Mar","Apr","May","Jun","Jul","Aug","Sep","Oct","Nov","Dec"},0), "Q1","Q1","Q1", "Q2","Q2","Q2", "Q3","Q3","Q3", "Q4","Q4","Q4")</f>
        <v>Q4</v>
      </c>
      <c r="C433" t="s">
        <v>23</v>
      </c>
      <c r="D433" t="s">
        <v>25</v>
      </c>
      <c r="E433" t="s">
        <v>47</v>
      </c>
      <c r="F433" s="4">
        <v>184333</v>
      </c>
      <c r="G433" s="4">
        <v>183424</v>
      </c>
      <c r="H433" s="7">
        <f t="shared" si="18"/>
        <v>-909</v>
      </c>
      <c r="I433" s="9">
        <f t="shared" si="19"/>
        <v>-4.9312928233143276E-3</v>
      </c>
      <c r="J433" t="str">
        <f t="shared" si="20"/>
        <v>Favourable</v>
      </c>
    </row>
    <row r="434" spans="1:10" x14ac:dyDescent="0.5">
      <c r="A434" t="s">
        <v>4</v>
      </c>
      <c r="B434" t="str">
        <f>CHOOSE(MATCH(A434,{"Jan","Feb","Mar","Apr","May","Jun","Jul","Aug","Sep","Oct","Nov","Dec"},0), "Q1","Q1","Q1", "Q2","Q2","Q2", "Q3","Q3","Q3", "Q4","Q4","Q4")</f>
        <v>Q1</v>
      </c>
      <c r="C434" t="s">
        <v>23</v>
      </c>
      <c r="D434" t="s">
        <v>48</v>
      </c>
      <c r="E434" t="s">
        <v>47</v>
      </c>
      <c r="F434" s="4">
        <v>25500</v>
      </c>
      <c r="G434" s="4">
        <v>26891</v>
      </c>
      <c r="H434" s="7">
        <f t="shared" si="18"/>
        <v>1391</v>
      </c>
      <c r="I434" s="9">
        <f t="shared" si="19"/>
        <v>5.4549019607843134E-2</v>
      </c>
      <c r="J434" t="str">
        <f t="shared" si="20"/>
        <v>Unfavourable</v>
      </c>
    </row>
    <row r="435" spans="1:10" x14ac:dyDescent="0.5">
      <c r="A435" t="s">
        <v>7</v>
      </c>
      <c r="B435" t="str">
        <f>CHOOSE(MATCH(A435,{"Jan","Feb","Mar","Apr","May","Jun","Jul","Aug","Sep","Oct","Nov","Dec"},0), "Q1","Q1","Q1", "Q2","Q2","Q2", "Q3","Q3","Q3", "Q4","Q4","Q4")</f>
        <v>Q1</v>
      </c>
      <c r="C435" t="s">
        <v>23</v>
      </c>
      <c r="D435" t="s">
        <v>48</v>
      </c>
      <c r="E435" t="s">
        <v>47</v>
      </c>
      <c r="F435" s="4">
        <v>24600</v>
      </c>
      <c r="G435" s="4">
        <v>21716</v>
      </c>
      <c r="H435" s="7">
        <f t="shared" si="18"/>
        <v>-2884</v>
      </c>
      <c r="I435" s="9">
        <f t="shared" si="19"/>
        <v>-0.11723577235772357</v>
      </c>
      <c r="J435" t="str">
        <f t="shared" si="20"/>
        <v>Favourable</v>
      </c>
    </row>
    <row r="436" spans="1:10" x14ac:dyDescent="0.5">
      <c r="A436" t="s">
        <v>8</v>
      </c>
      <c r="B436" t="str">
        <f>CHOOSE(MATCH(A436,{"Jan","Feb","Mar","Apr","May","Jun","Jul","Aug","Sep","Oct","Nov","Dec"},0), "Q1","Q1","Q1", "Q2","Q2","Q2", "Q3","Q3","Q3", "Q4","Q4","Q4")</f>
        <v>Q1</v>
      </c>
      <c r="C436" t="s">
        <v>23</v>
      </c>
      <c r="D436" t="s">
        <v>48</v>
      </c>
      <c r="E436" t="s">
        <v>47</v>
      </c>
      <c r="F436" s="4">
        <v>27600</v>
      </c>
      <c r="G436" s="4">
        <v>27845</v>
      </c>
      <c r="H436" s="7">
        <f t="shared" si="18"/>
        <v>245</v>
      </c>
      <c r="I436" s="9">
        <f t="shared" si="19"/>
        <v>8.8768115942028988E-3</v>
      </c>
      <c r="J436" t="str">
        <f t="shared" si="20"/>
        <v>Unfavourable</v>
      </c>
    </row>
    <row r="437" spans="1:10" x14ac:dyDescent="0.5">
      <c r="A437" t="s">
        <v>9</v>
      </c>
      <c r="B437" t="str">
        <f>CHOOSE(MATCH(A437,{"Jan","Feb","Mar","Apr","May","Jun","Jul","Aug","Sep","Oct","Nov","Dec"},0), "Q1","Q1","Q1", "Q2","Q2","Q2", "Q3","Q3","Q3", "Q4","Q4","Q4")</f>
        <v>Q2</v>
      </c>
      <c r="C437" t="s">
        <v>23</v>
      </c>
      <c r="D437" t="s">
        <v>48</v>
      </c>
      <c r="E437" t="s">
        <v>47</v>
      </c>
      <c r="F437" s="4">
        <v>28500</v>
      </c>
      <c r="G437" s="4">
        <v>28704</v>
      </c>
      <c r="H437" s="7">
        <f t="shared" si="18"/>
        <v>204</v>
      </c>
      <c r="I437" s="9">
        <f t="shared" si="19"/>
        <v>7.1578947368421053E-3</v>
      </c>
      <c r="J437" t="str">
        <f t="shared" si="20"/>
        <v>Unfavourable</v>
      </c>
    </row>
    <row r="438" spans="1:10" x14ac:dyDescent="0.5">
      <c r="A438" t="s">
        <v>10</v>
      </c>
      <c r="B438" t="str">
        <f>CHOOSE(MATCH(A438,{"Jan","Feb","Mar","Apr","May","Jun","Jul","Aug","Sep","Oct","Nov","Dec"},0), "Q1","Q1","Q1", "Q2","Q2","Q2", "Q3","Q3","Q3", "Q4","Q4","Q4")</f>
        <v>Q2</v>
      </c>
      <c r="C438" t="s">
        <v>23</v>
      </c>
      <c r="D438" t="s">
        <v>48</v>
      </c>
      <c r="E438" t="s">
        <v>47</v>
      </c>
      <c r="F438" s="4">
        <v>30000</v>
      </c>
      <c r="G438" s="4">
        <v>29144</v>
      </c>
      <c r="H438" s="7">
        <f t="shared" si="18"/>
        <v>-856</v>
      </c>
      <c r="I438" s="9">
        <f t="shared" si="19"/>
        <v>-2.8533333333333334E-2</v>
      </c>
      <c r="J438" t="str">
        <f t="shared" si="20"/>
        <v>Favourable</v>
      </c>
    </row>
    <row r="439" spans="1:10" x14ac:dyDescent="0.5">
      <c r="A439" t="s">
        <v>11</v>
      </c>
      <c r="B439" t="str">
        <f>CHOOSE(MATCH(A439,{"Jan","Feb","Mar","Apr","May","Jun","Jul","Aug","Sep","Oct","Nov","Dec"},0), "Q1","Q1","Q1", "Q2","Q2","Q2", "Q3","Q3","Q3", "Q4","Q4","Q4")</f>
        <v>Q2</v>
      </c>
      <c r="C439" t="s">
        <v>23</v>
      </c>
      <c r="D439" t="s">
        <v>48</v>
      </c>
      <c r="E439" t="s">
        <v>47</v>
      </c>
      <c r="F439" s="4">
        <v>30600</v>
      </c>
      <c r="G439" s="4">
        <v>32729</v>
      </c>
      <c r="H439" s="7">
        <f t="shared" si="18"/>
        <v>2129</v>
      </c>
      <c r="I439" s="9">
        <f t="shared" si="19"/>
        <v>6.957516339869281E-2</v>
      </c>
      <c r="J439" t="str">
        <f t="shared" si="20"/>
        <v>Unfavourable</v>
      </c>
    </row>
    <row r="440" spans="1:10" x14ac:dyDescent="0.5">
      <c r="A440" t="s">
        <v>12</v>
      </c>
      <c r="B440" t="str">
        <f>CHOOSE(MATCH(A440,{"Jan","Feb","Mar","Apr","May","Jun","Jul","Aug","Sep","Oct","Nov","Dec"},0), "Q1","Q1","Q1", "Q2","Q2","Q2", "Q3","Q3","Q3", "Q4","Q4","Q4")</f>
        <v>Q3</v>
      </c>
      <c r="C440" t="s">
        <v>23</v>
      </c>
      <c r="D440" t="s">
        <v>48</v>
      </c>
      <c r="E440" t="s">
        <v>47</v>
      </c>
      <c r="F440" s="4">
        <v>26400</v>
      </c>
      <c r="G440" s="4">
        <v>27681</v>
      </c>
      <c r="H440" s="7">
        <f t="shared" si="18"/>
        <v>1281</v>
      </c>
      <c r="I440" s="9">
        <f t="shared" si="19"/>
        <v>4.8522727272727273E-2</v>
      </c>
      <c r="J440" t="str">
        <f t="shared" si="20"/>
        <v>Unfavourable</v>
      </c>
    </row>
    <row r="441" spans="1:10" x14ac:dyDescent="0.5">
      <c r="A441" t="s">
        <v>13</v>
      </c>
      <c r="B441" t="str">
        <f>CHOOSE(MATCH(A441,{"Jan","Feb","Mar","Apr","May","Jun","Jul","Aug","Sep","Oct","Nov","Dec"},0), "Q1","Q1","Q1", "Q2","Q2","Q2", "Q3","Q3","Q3", "Q4","Q4","Q4")</f>
        <v>Q3</v>
      </c>
      <c r="C441" t="s">
        <v>23</v>
      </c>
      <c r="D441" t="s">
        <v>48</v>
      </c>
      <c r="E441" t="s">
        <v>47</v>
      </c>
      <c r="F441" s="4">
        <v>25500</v>
      </c>
      <c r="G441" s="4">
        <v>25167</v>
      </c>
      <c r="H441" s="7">
        <f t="shared" si="18"/>
        <v>-333</v>
      </c>
      <c r="I441" s="9">
        <f t="shared" si="19"/>
        <v>-1.3058823529411765E-2</v>
      </c>
      <c r="J441" t="str">
        <f t="shared" si="20"/>
        <v>Favourable</v>
      </c>
    </row>
    <row r="442" spans="1:10" x14ac:dyDescent="0.5">
      <c r="A442" t="s">
        <v>14</v>
      </c>
      <c r="B442" t="str">
        <f>CHOOSE(MATCH(A442,{"Jan","Feb","Mar","Apr","May","Jun","Jul","Aug","Sep","Oct","Nov","Dec"},0), "Q1","Q1","Q1", "Q2","Q2","Q2", "Q3","Q3","Q3", "Q4","Q4","Q4")</f>
        <v>Q3</v>
      </c>
      <c r="C442" t="s">
        <v>23</v>
      </c>
      <c r="D442" t="s">
        <v>48</v>
      </c>
      <c r="E442" t="s">
        <v>47</v>
      </c>
      <c r="F442" s="4">
        <v>30000</v>
      </c>
      <c r="G442" s="4">
        <v>29870</v>
      </c>
      <c r="H442" s="7">
        <f t="shared" si="18"/>
        <v>-130</v>
      </c>
      <c r="I442" s="9">
        <f t="shared" si="19"/>
        <v>-4.3333333333333331E-3</v>
      </c>
      <c r="J442" t="str">
        <f t="shared" si="20"/>
        <v>Favourable</v>
      </c>
    </row>
    <row r="443" spans="1:10" x14ac:dyDescent="0.5">
      <c r="A443" t="s">
        <v>15</v>
      </c>
      <c r="B443" t="str">
        <f>CHOOSE(MATCH(A443,{"Jan","Feb","Mar","Apr","May","Jun","Jul","Aug","Sep","Oct","Nov","Dec"},0), "Q1","Q1","Q1", "Q2","Q2","Q2", "Q3","Q3","Q3", "Q4","Q4","Q4")</f>
        <v>Q4</v>
      </c>
      <c r="C443" t="s">
        <v>23</v>
      </c>
      <c r="D443" t="s">
        <v>48</v>
      </c>
      <c r="E443" t="s">
        <v>47</v>
      </c>
      <c r="F443" s="4">
        <v>31500</v>
      </c>
      <c r="G443" s="4">
        <v>30889</v>
      </c>
      <c r="H443" s="7">
        <f t="shared" si="18"/>
        <v>-611</v>
      </c>
      <c r="I443" s="9">
        <f t="shared" si="19"/>
        <v>-1.9396825396825398E-2</v>
      </c>
      <c r="J443" t="str">
        <f t="shared" si="20"/>
        <v>Favourable</v>
      </c>
    </row>
    <row r="444" spans="1:10" x14ac:dyDescent="0.5">
      <c r="A444" t="s">
        <v>16</v>
      </c>
      <c r="B444" t="str">
        <f>CHOOSE(MATCH(A444,{"Jan","Feb","Mar","Apr","May","Jun","Jul","Aug","Sep","Oct","Nov","Dec"},0), "Q1","Q1","Q1", "Q2","Q2","Q2", "Q3","Q3","Q3", "Q4","Q4","Q4")</f>
        <v>Q4</v>
      </c>
      <c r="C444" t="s">
        <v>23</v>
      </c>
      <c r="D444" t="s">
        <v>48</v>
      </c>
      <c r="E444" t="s">
        <v>47</v>
      </c>
      <c r="F444" s="4">
        <v>32400</v>
      </c>
      <c r="G444" s="4">
        <v>31570</v>
      </c>
      <c r="H444" s="7">
        <f t="shared" si="18"/>
        <v>-830</v>
      </c>
      <c r="I444" s="9">
        <f t="shared" si="19"/>
        <v>-2.5617283950617284E-2</v>
      </c>
      <c r="J444" t="str">
        <f t="shared" si="20"/>
        <v>Favourable</v>
      </c>
    </row>
    <row r="445" spans="1:10" x14ac:dyDescent="0.5">
      <c r="A445" t="s">
        <v>17</v>
      </c>
      <c r="B445" t="str">
        <f>CHOOSE(MATCH(A445,{"Jan","Feb","Mar","Apr","May","Jun","Jul","Aug","Sep","Oct","Nov","Dec"},0), "Q1","Q1","Q1", "Q2","Q2","Q2", "Q3","Q3","Q3", "Q4","Q4","Q4")</f>
        <v>Q4</v>
      </c>
      <c r="C445" t="s">
        <v>23</v>
      </c>
      <c r="D445" t="s">
        <v>48</v>
      </c>
      <c r="E445" t="s">
        <v>47</v>
      </c>
      <c r="F445" s="4">
        <v>47400</v>
      </c>
      <c r="G445" s="4">
        <v>44300</v>
      </c>
      <c r="H445" s="7">
        <f t="shared" si="18"/>
        <v>-3100</v>
      </c>
      <c r="I445" s="9">
        <f t="shared" si="19"/>
        <v>-6.5400843881856546E-2</v>
      </c>
      <c r="J445" t="str">
        <f t="shared" si="20"/>
        <v>Favourable</v>
      </c>
    </row>
    <row r="446" spans="1:10" x14ac:dyDescent="0.5">
      <c r="A446" t="s">
        <v>4</v>
      </c>
      <c r="B446" t="str">
        <f>CHOOSE(MATCH(A446,{"Jan","Feb","Mar","Apr","May","Jun","Jul","Aug","Sep","Oct","Nov","Dec"},0), "Q1","Q1","Q1", "Q2","Q2","Q2", "Q3","Q3","Q3", "Q4","Q4","Q4")</f>
        <v>Q1</v>
      </c>
      <c r="C446" t="s">
        <v>23</v>
      </c>
      <c r="D446" t="s">
        <v>49</v>
      </c>
      <c r="E446" t="s">
        <v>47</v>
      </c>
      <c r="F446" s="4">
        <v>12750</v>
      </c>
      <c r="G446" s="4">
        <v>13630</v>
      </c>
      <c r="H446" s="7">
        <f t="shared" si="18"/>
        <v>880</v>
      </c>
      <c r="I446" s="9">
        <f t="shared" si="19"/>
        <v>6.9019607843137251E-2</v>
      </c>
      <c r="J446" t="str">
        <f t="shared" si="20"/>
        <v>Unfavourable</v>
      </c>
    </row>
    <row r="447" spans="1:10" x14ac:dyDescent="0.5">
      <c r="A447" t="s">
        <v>7</v>
      </c>
      <c r="B447" t="str">
        <f>CHOOSE(MATCH(A447,{"Jan","Feb","Mar","Apr","May","Jun","Jul","Aug","Sep","Oct","Nov","Dec"},0), "Q1","Q1","Q1", "Q2","Q2","Q2", "Q3","Q3","Q3", "Q4","Q4","Q4")</f>
        <v>Q1</v>
      </c>
      <c r="C447" t="s">
        <v>23</v>
      </c>
      <c r="D447" t="s">
        <v>49</v>
      </c>
      <c r="E447" t="s">
        <v>47</v>
      </c>
      <c r="F447" s="4">
        <v>12300</v>
      </c>
      <c r="G447" s="4">
        <v>12932</v>
      </c>
      <c r="H447" s="7">
        <f t="shared" si="18"/>
        <v>632</v>
      </c>
      <c r="I447" s="9">
        <f t="shared" si="19"/>
        <v>5.1382113821138213E-2</v>
      </c>
      <c r="J447" t="str">
        <f t="shared" si="20"/>
        <v>Unfavourable</v>
      </c>
    </row>
    <row r="448" spans="1:10" x14ac:dyDescent="0.5">
      <c r="A448" t="s">
        <v>8</v>
      </c>
      <c r="B448" t="str">
        <f>CHOOSE(MATCH(A448,{"Jan","Feb","Mar","Apr","May","Jun","Jul","Aug","Sep","Oct","Nov","Dec"},0), "Q1","Q1","Q1", "Q2","Q2","Q2", "Q3","Q3","Q3", "Q4","Q4","Q4")</f>
        <v>Q1</v>
      </c>
      <c r="C448" t="s">
        <v>23</v>
      </c>
      <c r="D448" t="s">
        <v>49</v>
      </c>
      <c r="E448" t="s">
        <v>47</v>
      </c>
      <c r="F448" s="4">
        <v>13800</v>
      </c>
      <c r="G448" s="4">
        <v>14351</v>
      </c>
      <c r="H448" s="7">
        <f t="shared" si="18"/>
        <v>551</v>
      </c>
      <c r="I448" s="9">
        <f t="shared" si="19"/>
        <v>3.992753623188406E-2</v>
      </c>
      <c r="J448" t="str">
        <f t="shared" si="20"/>
        <v>Unfavourable</v>
      </c>
    </row>
    <row r="449" spans="1:10" x14ac:dyDescent="0.5">
      <c r="A449" t="s">
        <v>9</v>
      </c>
      <c r="B449" t="str">
        <f>CHOOSE(MATCH(A449,{"Jan","Feb","Mar","Apr","May","Jun","Jul","Aug","Sep","Oct","Nov","Dec"},0), "Q1","Q1","Q1", "Q2","Q2","Q2", "Q3","Q3","Q3", "Q4","Q4","Q4")</f>
        <v>Q2</v>
      </c>
      <c r="C449" t="s">
        <v>23</v>
      </c>
      <c r="D449" t="s">
        <v>49</v>
      </c>
      <c r="E449" t="s">
        <v>47</v>
      </c>
      <c r="F449" s="4">
        <v>14250</v>
      </c>
      <c r="G449" s="4">
        <v>13470</v>
      </c>
      <c r="H449" s="7">
        <f t="shared" si="18"/>
        <v>-780</v>
      </c>
      <c r="I449" s="9">
        <f t="shared" si="19"/>
        <v>-5.473684210526316E-2</v>
      </c>
      <c r="J449" t="str">
        <f t="shared" si="20"/>
        <v>Favourable</v>
      </c>
    </row>
    <row r="450" spans="1:10" x14ac:dyDescent="0.5">
      <c r="A450" t="s">
        <v>10</v>
      </c>
      <c r="B450" t="str">
        <f>CHOOSE(MATCH(A450,{"Jan","Feb","Mar","Apr","May","Jun","Jul","Aug","Sep","Oct","Nov","Dec"},0), "Q1","Q1","Q1", "Q2","Q2","Q2", "Q3","Q3","Q3", "Q4","Q4","Q4")</f>
        <v>Q2</v>
      </c>
      <c r="C450" t="s">
        <v>23</v>
      </c>
      <c r="D450" t="s">
        <v>49</v>
      </c>
      <c r="E450" t="s">
        <v>47</v>
      </c>
      <c r="F450" s="4">
        <v>15000</v>
      </c>
      <c r="G450" s="4">
        <v>16561</v>
      </c>
      <c r="H450" s="7">
        <f t="shared" si="18"/>
        <v>1561</v>
      </c>
      <c r="I450" s="9">
        <f t="shared" si="19"/>
        <v>0.10406666666666667</v>
      </c>
      <c r="J450" t="str">
        <f t="shared" si="20"/>
        <v>Unfavourable</v>
      </c>
    </row>
    <row r="451" spans="1:10" x14ac:dyDescent="0.5">
      <c r="A451" t="s">
        <v>11</v>
      </c>
      <c r="B451" t="str">
        <f>CHOOSE(MATCH(A451,{"Jan","Feb","Mar","Apr","May","Jun","Jul","Aug","Sep","Oct","Nov","Dec"},0), "Q1","Q1","Q1", "Q2","Q2","Q2", "Q3","Q3","Q3", "Q4","Q4","Q4")</f>
        <v>Q2</v>
      </c>
      <c r="C451" t="s">
        <v>23</v>
      </c>
      <c r="D451" t="s">
        <v>49</v>
      </c>
      <c r="E451" t="s">
        <v>47</v>
      </c>
      <c r="F451" s="4">
        <v>15300</v>
      </c>
      <c r="G451" s="4">
        <v>16815</v>
      </c>
      <c r="H451" s="7">
        <f t="shared" ref="H451:H514" si="21">G451-F451</f>
        <v>1515</v>
      </c>
      <c r="I451" s="9">
        <f t="shared" ref="I451:I514" si="22">SUM(G451-F451)/F451</f>
        <v>9.901960784313725E-2</v>
      </c>
      <c r="J451" t="str">
        <f t="shared" ref="J451:J514" si="23">IF(C451="Revenue",IF(G451&gt;F451,"Favourable","Unfavourable"),IF(G451&lt;F451,"Favourable","Unfavourable"))</f>
        <v>Unfavourable</v>
      </c>
    </row>
    <row r="452" spans="1:10" x14ac:dyDescent="0.5">
      <c r="A452" t="s">
        <v>12</v>
      </c>
      <c r="B452" t="str">
        <f>CHOOSE(MATCH(A452,{"Jan","Feb","Mar","Apr","May","Jun","Jul","Aug","Sep","Oct","Nov","Dec"},0), "Q1","Q1","Q1", "Q2","Q2","Q2", "Q3","Q3","Q3", "Q4","Q4","Q4")</f>
        <v>Q3</v>
      </c>
      <c r="C452" t="s">
        <v>23</v>
      </c>
      <c r="D452" t="s">
        <v>49</v>
      </c>
      <c r="E452" t="s">
        <v>47</v>
      </c>
      <c r="F452" s="4">
        <v>13200</v>
      </c>
      <c r="G452" s="4">
        <v>13324</v>
      </c>
      <c r="H452" s="7">
        <f t="shared" si="21"/>
        <v>124</v>
      </c>
      <c r="I452" s="9">
        <f t="shared" si="22"/>
        <v>9.3939393939393937E-3</v>
      </c>
      <c r="J452" t="str">
        <f t="shared" si="23"/>
        <v>Unfavourable</v>
      </c>
    </row>
    <row r="453" spans="1:10" x14ac:dyDescent="0.5">
      <c r="A453" t="s">
        <v>13</v>
      </c>
      <c r="B453" t="str">
        <f>CHOOSE(MATCH(A453,{"Jan","Feb","Mar","Apr","May","Jun","Jul","Aug","Sep","Oct","Nov","Dec"},0), "Q1","Q1","Q1", "Q2","Q2","Q2", "Q3","Q3","Q3", "Q4","Q4","Q4")</f>
        <v>Q3</v>
      </c>
      <c r="C453" t="s">
        <v>23</v>
      </c>
      <c r="D453" t="s">
        <v>49</v>
      </c>
      <c r="E453" t="s">
        <v>47</v>
      </c>
      <c r="F453" s="4">
        <v>12750</v>
      </c>
      <c r="G453" s="4">
        <v>12174</v>
      </c>
      <c r="H453" s="7">
        <f t="shared" si="21"/>
        <v>-576</v>
      </c>
      <c r="I453" s="9">
        <f t="shared" si="22"/>
        <v>-4.5176470588235297E-2</v>
      </c>
      <c r="J453" t="str">
        <f t="shared" si="23"/>
        <v>Favourable</v>
      </c>
    </row>
    <row r="454" spans="1:10" x14ac:dyDescent="0.5">
      <c r="A454" t="s">
        <v>14</v>
      </c>
      <c r="B454" t="str">
        <f>CHOOSE(MATCH(A454,{"Jan","Feb","Mar","Apr","May","Jun","Jul","Aug","Sep","Oct","Nov","Dec"},0), "Q1","Q1","Q1", "Q2","Q2","Q2", "Q3","Q3","Q3", "Q4","Q4","Q4")</f>
        <v>Q3</v>
      </c>
      <c r="C454" t="s">
        <v>23</v>
      </c>
      <c r="D454" t="s">
        <v>49</v>
      </c>
      <c r="E454" t="s">
        <v>47</v>
      </c>
      <c r="F454" s="4">
        <v>15000</v>
      </c>
      <c r="G454" s="4">
        <v>14350</v>
      </c>
      <c r="H454" s="7">
        <f t="shared" si="21"/>
        <v>-650</v>
      </c>
      <c r="I454" s="9">
        <f t="shared" si="22"/>
        <v>-4.3333333333333335E-2</v>
      </c>
      <c r="J454" t="str">
        <f t="shared" si="23"/>
        <v>Favourable</v>
      </c>
    </row>
    <row r="455" spans="1:10" x14ac:dyDescent="0.5">
      <c r="A455" t="s">
        <v>15</v>
      </c>
      <c r="B455" t="str">
        <f>CHOOSE(MATCH(A455,{"Jan","Feb","Mar","Apr","May","Jun","Jul","Aug","Sep","Oct","Nov","Dec"},0), "Q1","Q1","Q1", "Q2","Q2","Q2", "Q3","Q3","Q3", "Q4","Q4","Q4")</f>
        <v>Q4</v>
      </c>
      <c r="C455" t="s">
        <v>23</v>
      </c>
      <c r="D455" t="s">
        <v>49</v>
      </c>
      <c r="E455" t="s">
        <v>47</v>
      </c>
      <c r="F455" s="4">
        <v>15750</v>
      </c>
      <c r="G455" s="4">
        <v>16080</v>
      </c>
      <c r="H455" s="7">
        <f t="shared" si="21"/>
        <v>330</v>
      </c>
      <c r="I455" s="9">
        <f t="shared" si="22"/>
        <v>2.0952380952380951E-2</v>
      </c>
      <c r="J455" t="str">
        <f t="shared" si="23"/>
        <v>Unfavourable</v>
      </c>
    </row>
    <row r="456" spans="1:10" x14ac:dyDescent="0.5">
      <c r="A456" t="s">
        <v>16</v>
      </c>
      <c r="B456" t="str">
        <f>CHOOSE(MATCH(A456,{"Jan","Feb","Mar","Apr","May","Jun","Jul","Aug","Sep","Oct","Nov","Dec"},0), "Q1","Q1","Q1", "Q2","Q2","Q2", "Q3","Q3","Q3", "Q4","Q4","Q4")</f>
        <v>Q4</v>
      </c>
      <c r="C456" t="s">
        <v>23</v>
      </c>
      <c r="D456" t="s">
        <v>49</v>
      </c>
      <c r="E456" t="s">
        <v>47</v>
      </c>
      <c r="F456" s="4">
        <v>16200</v>
      </c>
      <c r="G456" s="4">
        <v>15460</v>
      </c>
      <c r="H456" s="7">
        <f t="shared" si="21"/>
        <v>-740</v>
      </c>
      <c r="I456" s="9">
        <f t="shared" si="22"/>
        <v>-4.5679012345679011E-2</v>
      </c>
      <c r="J456" t="str">
        <f t="shared" si="23"/>
        <v>Favourable</v>
      </c>
    </row>
    <row r="457" spans="1:10" x14ac:dyDescent="0.5">
      <c r="A457" t="s">
        <v>17</v>
      </c>
      <c r="B457" t="str">
        <f>CHOOSE(MATCH(A457,{"Jan","Feb","Mar","Apr","May","Jun","Jul","Aug","Sep","Oct","Nov","Dec"},0), "Q1","Q1","Q1", "Q2","Q2","Q2", "Q3","Q3","Q3", "Q4","Q4","Q4")</f>
        <v>Q4</v>
      </c>
      <c r="C457" t="s">
        <v>23</v>
      </c>
      <c r="D457" t="s">
        <v>49</v>
      </c>
      <c r="E457" t="s">
        <v>47</v>
      </c>
      <c r="F457" s="4">
        <v>23700</v>
      </c>
      <c r="G457" s="4">
        <v>23659</v>
      </c>
      <c r="H457" s="7">
        <f t="shared" si="21"/>
        <v>-41</v>
      </c>
      <c r="I457" s="9">
        <f t="shared" si="22"/>
        <v>-1.7299578059071731E-3</v>
      </c>
      <c r="J457" t="str">
        <f t="shared" si="23"/>
        <v>Favourable</v>
      </c>
    </row>
    <row r="458" spans="1:10" x14ac:dyDescent="0.5">
      <c r="A458" t="s">
        <v>4</v>
      </c>
      <c r="B458" t="str">
        <f>CHOOSE(MATCH(A458,{"Jan","Feb","Mar","Apr","May","Jun","Jul","Aug","Sep","Oct","Nov","Dec"},0), "Q1","Q1","Q1", "Q2","Q2","Q2", "Q3","Q3","Q3", "Q4","Q4","Q4")</f>
        <v>Q1</v>
      </c>
      <c r="C458" t="s">
        <v>23</v>
      </c>
      <c r="D458" t="s">
        <v>50</v>
      </c>
      <c r="E458" t="s">
        <v>47</v>
      </c>
      <c r="F458" s="4">
        <v>8500</v>
      </c>
      <c r="G458" s="4">
        <v>8963</v>
      </c>
      <c r="H458" s="7">
        <f t="shared" si="21"/>
        <v>463</v>
      </c>
      <c r="I458" s="9">
        <f t="shared" si="22"/>
        <v>5.4470588235294118E-2</v>
      </c>
      <c r="J458" t="str">
        <f t="shared" si="23"/>
        <v>Unfavourable</v>
      </c>
    </row>
    <row r="459" spans="1:10" x14ac:dyDescent="0.5">
      <c r="A459" t="s">
        <v>7</v>
      </c>
      <c r="B459" t="str">
        <f>CHOOSE(MATCH(A459,{"Jan","Feb","Mar","Apr","May","Jun","Jul","Aug","Sep","Oct","Nov","Dec"},0), "Q1","Q1","Q1", "Q2","Q2","Q2", "Q3","Q3","Q3", "Q4","Q4","Q4")</f>
        <v>Q1</v>
      </c>
      <c r="C459" t="s">
        <v>23</v>
      </c>
      <c r="D459" t="s">
        <v>50</v>
      </c>
      <c r="E459" t="s">
        <v>47</v>
      </c>
      <c r="F459" s="4">
        <v>8200</v>
      </c>
      <c r="G459" s="4">
        <v>7582</v>
      </c>
      <c r="H459" s="7">
        <f t="shared" si="21"/>
        <v>-618</v>
      </c>
      <c r="I459" s="9">
        <f t="shared" si="22"/>
        <v>-7.5365853658536583E-2</v>
      </c>
      <c r="J459" t="str">
        <f t="shared" si="23"/>
        <v>Favourable</v>
      </c>
    </row>
    <row r="460" spans="1:10" x14ac:dyDescent="0.5">
      <c r="A460" t="s">
        <v>8</v>
      </c>
      <c r="B460" t="str">
        <f>CHOOSE(MATCH(A460,{"Jan","Feb","Mar","Apr","May","Jun","Jul","Aug","Sep","Oct","Nov","Dec"},0), "Q1","Q1","Q1", "Q2","Q2","Q2", "Q3","Q3","Q3", "Q4","Q4","Q4")</f>
        <v>Q1</v>
      </c>
      <c r="C460" t="s">
        <v>23</v>
      </c>
      <c r="D460" t="s">
        <v>50</v>
      </c>
      <c r="E460" t="s">
        <v>47</v>
      </c>
      <c r="F460" s="4">
        <v>9200</v>
      </c>
      <c r="G460" s="4">
        <v>10123</v>
      </c>
      <c r="H460" s="7">
        <f t="shared" si="21"/>
        <v>923</v>
      </c>
      <c r="I460" s="9">
        <f t="shared" si="22"/>
        <v>0.10032608695652175</v>
      </c>
      <c r="J460" t="str">
        <f t="shared" si="23"/>
        <v>Unfavourable</v>
      </c>
    </row>
    <row r="461" spans="1:10" x14ac:dyDescent="0.5">
      <c r="A461" t="s">
        <v>9</v>
      </c>
      <c r="B461" t="str">
        <f>CHOOSE(MATCH(A461,{"Jan","Feb","Mar","Apr","May","Jun","Jul","Aug","Sep","Oct","Nov","Dec"},0), "Q1","Q1","Q1", "Q2","Q2","Q2", "Q3","Q3","Q3", "Q4","Q4","Q4")</f>
        <v>Q2</v>
      </c>
      <c r="C461" t="s">
        <v>23</v>
      </c>
      <c r="D461" t="s">
        <v>50</v>
      </c>
      <c r="E461" t="s">
        <v>47</v>
      </c>
      <c r="F461" s="4">
        <v>9500</v>
      </c>
      <c r="G461" s="4">
        <v>10244</v>
      </c>
      <c r="H461" s="7">
        <f t="shared" si="21"/>
        <v>744</v>
      </c>
      <c r="I461" s="9">
        <f t="shared" si="22"/>
        <v>7.8315789473684214E-2</v>
      </c>
      <c r="J461" t="str">
        <f t="shared" si="23"/>
        <v>Unfavourable</v>
      </c>
    </row>
    <row r="462" spans="1:10" x14ac:dyDescent="0.5">
      <c r="A462" t="s">
        <v>10</v>
      </c>
      <c r="B462" t="str">
        <f>CHOOSE(MATCH(A462,{"Jan","Feb","Mar","Apr","May","Jun","Jul","Aug","Sep","Oct","Nov","Dec"},0), "Q1","Q1","Q1", "Q2","Q2","Q2", "Q3","Q3","Q3", "Q4","Q4","Q4")</f>
        <v>Q2</v>
      </c>
      <c r="C462" t="s">
        <v>23</v>
      </c>
      <c r="D462" t="s">
        <v>50</v>
      </c>
      <c r="E462" t="s">
        <v>47</v>
      </c>
      <c r="F462" s="4">
        <v>10000</v>
      </c>
      <c r="G462" s="4">
        <v>9381</v>
      </c>
      <c r="H462" s="7">
        <f t="shared" si="21"/>
        <v>-619</v>
      </c>
      <c r="I462" s="9">
        <f t="shared" si="22"/>
        <v>-6.1899999999999997E-2</v>
      </c>
      <c r="J462" t="str">
        <f t="shared" si="23"/>
        <v>Favourable</v>
      </c>
    </row>
    <row r="463" spans="1:10" x14ac:dyDescent="0.5">
      <c r="A463" t="s">
        <v>11</v>
      </c>
      <c r="B463" t="str">
        <f>CHOOSE(MATCH(A463,{"Jan","Feb","Mar","Apr","May","Jun","Jul","Aug","Sep","Oct","Nov","Dec"},0), "Q1","Q1","Q1", "Q2","Q2","Q2", "Q3","Q3","Q3", "Q4","Q4","Q4")</f>
        <v>Q2</v>
      </c>
      <c r="C463" t="s">
        <v>23</v>
      </c>
      <c r="D463" t="s">
        <v>50</v>
      </c>
      <c r="E463" t="s">
        <v>47</v>
      </c>
      <c r="F463" s="4">
        <v>10200</v>
      </c>
      <c r="G463" s="4">
        <v>9479</v>
      </c>
      <c r="H463" s="7">
        <f t="shared" si="21"/>
        <v>-721</v>
      </c>
      <c r="I463" s="9">
        <f t="shared" si="22"/>
        <v>-7.0686274509803915E-2</v>
      </c>
      <c r="J463" t="str">
        <f t="shared" si="23"/>
        <v>Favourable</v>
      </c>
    </row>
    <row r="464" spans="1:10" x14ac:dyDescent="0.5">
      <c r="A464" t="s">
        <v>12</v>
      </c>
      <c r="B464" t="str">
        <f>CHOOSE(MATCH(A464,{"Jan","Feb","Mar","Apr","May","Jun","Jul","Aug","Sep","Oct","Nov","Dec"},0), "Q1","Q1","Q1", "Q2","Q2","Q2", "Q3","Q3","Q3", "Q4","Q4","Q4")</f>
        <v>Q3</v>
      </c>
      <c r="C464" t="s">
        <v>23</v>
      </c>
      <c r="D464" t="s">
        <v>50</v>
      </c>
      <c r="E464" t="s">
        <v>47</v>
      </c>
      <c r="F464" s="4">
        <v>8800</v>
      </c>
      <c r="G464" s="4">
        <v>8675</v>
      </c>
      <c r="H464" s="7">
        <f t="shared" si="21"/>
        <v>-125</v>
      </c>
      <c r="I464" s="9">
        <f t="shared" si="22"/>
        <v>-1.4204545454545454E-2</v>
      </c>
      <c r="J464" t="str">
        <f t="shared" si="23"/>
        <v>Favourable</v>
      </c>
    </row>
    <row r="465" spans="1:10" x14ac:dyDescent="0.5">
      <c r="A465" t="s">
        <v>13</v>
      </c>
      <c r="B465" t="str">
        <f>CHOOSE(MATCH(A465,{"Jan","Feb","Mar","Apr","May","Jun","Jul","Aug","Sep","Oct","Nov","Dec"},0), "Q1","Q1","Q1", "Q2","Q2","Q2", "Q3","Q3","Q3", "Q4","Q4","Q4")</f>
        <v>Q3</v>
      </c>
      <c r="C465" t="s">
        <v>23</v>
      </c>
      <c r="D465" t="s">
        <v>50</v>
      </c>
      <c r="E465" t="s">
        <v>47</v>
      </c>
      <c r="F465" s="4">
        <v>8500</v>
      </c>
      <c r="G465" s="4">
        <v>8062</v>
      </c>
      <c r="H465" s="7">
        <f t="shared" si="21"/>
        <v>-438</v>
      </c>
      <c r="I465" s="9">
        <f t="shared" si="22"/>
        <v>-5.1529411764705879E-2</v>
      </c>
      <c r="J465" t="str">
        <f t="shared" si="23"/>
        <v>Favourable</v>
      </c>
    </row>
    <row r="466" spans="1:10" x14ac:dyDescent="0.5">
      <c r="A466" t="s">
        <v>14</v>
      </c>
      <c r="B466" t="str">
        <f>CHOOSE(MATCH(A466,{"Jan","Feb","Mar","Apr","May","Jun","Jul","Aug","Sep","Oct","Nov","Dec"},0), "Q1","Q1","Q1", "Q2","Q2","Q2", "Q3","Q3","Q3", "Q4","Q4","Q4")</f>
        <v>Q3</v>
      </c>
      <c r="C466" t="s">
        <v>23</v>
      </c>
      <c r="D466" t="s">
        <v>50</v>
      </c>
      <c r="E466" t="s">
        <v>47</v>
      </c>
      <c r="F466" s="4">
        <v>10000</v>
      </c>
      <c r="G466" s="4">
        <v>9868</v>
      </c>
      <c r="H466" s="7">
        <f t="shared" si="21"/>
        <v>-132</v>
      </c>
      <c r="I466" s="9">
        <f t="shared" si="22"/>
        <v>-1.32E-2</v>
      </c>
      <c r="J466" t="str">
        <f t="shared" si="23"/>
        <v>Favourable</v>
      </c>
    </row>
    <row r="467" spans="1:10" x14ac:dyDescent="0.5">
      <c r="A467" t="s">
        <v>15</v>
      </c>
      <c r="B467" t="str">
        <f>CHOOSE(MATCH(A467,{"Jan","Feb","Mar","Apr","May","Jun","Jul","Aug","Sep","Oct","Nov","Dec"},0), "Q1","Q1","Q1", "Q2","Q2","Q2", "Q3","Q3","Q3", "Q4","Q4","Q4")</f>
        <v>Q4</v>
      </c>
      <c r="C467" t="s">
        <v>23</v>
      </c>
      <c r="D467" t="s">
        <v>50</v>
      </c>
      <c r="E467" t="s">
        <v>47</v>
      </c>
      <c r="F467" s="4">
        <v>10500</v>
      </c>
      <c r="G467" s="4">
        <v>9145</v>
      </c>
      <c r="H467" s="7">
        <f t="shared" si="21"/>
        <v>-1355</v>
      </c>
      <c r="I467" s="9">
        <f t="shared" si="22"/>
        <v>-0.12904761904761905</v>
      </c>
      <c r="J467" t="str">
        <f t="shared" si="23"/>
        <v>Favourable</v>
      </c>
    </row>
    <row r="468" spans="1:10" x14ac:dyDescent="0.5">
      <c r="A468" t="s">
        <v>16</v>
      </c>
      <c r="B468" t="str">
        <f>CHOOSE(MATCH(A468,{"Jan","Feb","Mar","Apr","May","Jun","Jul","Aug","Sep","Oct","Nov","Dec"},0), "Q1","Q1","Q1", "Q2","Q2","Q2", "Q3","Q3","Q3", "Q4","Q4","Q4")</f>
        <v>Q4</v>
      </c>
      <c r="C468" t="s">
        <v>23</v>
      </c>
      <c r="D468" t="s">
        <v>50</v>
      </c>
      <c r="E468" t="s">
        <v>47</v>
      </c>
      <c r="F468" s="4">
        <v>10800</v>
      </c>
      <c r="G468" s="4">
        <v>10677</v>
      </c>
      <c r="H468" s="7">
        <f t="shared" si="21"/>
        <v>-123</v>
      </c>
      <c r="I468" s="9">
        <f t="shared" si="22"/>
        <v>-1.1388888888888889E-2</v>
      </c>
      <c r="J468" t="str">
        <f t="shared" si="23"/>
        <v>Favourable</v>
      </c>
    </row>
    <row r="469" spans="1:10" x14ac:dyDescent="0.5">
      <c r="A469" t="s">
        <v>17</v>
      </c>
      <c r="B469" t="str">
        <f>CHOOSE(MATCH(A469,{"Jan","Feb","Mar","Apr","May","Jun","Jul","Aug","Sep","Oct","Nov","Dec"},0), "Q1","Q1","Q1", "Q2","Q2","Q2", "Q3","Q3","Q3", "Q4","Q4","Q4")</f>
        <v>Q4</v>
      </c>
      <c r="C469" t="s">
        <v>23</v>
      </c>
      <c r="D469" t="s">
        <v>50</v>
      </c>
      <c r="E469" t="s">
        <v>47</v>
      </c>
      <c r="F469" s="4">
        <v>15800</v>
      </c>
      <c r="G469" s="4">
        <v>17224</v>
      </c>
      <c r="H469" s="7">
        <f t="shared" si="21"/>
        <v>1424</v>
      </c>
      <c r="I469" s="9">
        <f t="shared" si="22"/>
        <v>9.0126582278481013E-2</v>
      </c>
      <c r="J469" t="str">
        <f t="shared" si="23"/>
        <v>Unfavourable</v>
      </c>
    </row>
    <row r="470" spans="1:10" x14ac:dyDescent="0.5">
      <c r="A470" t="s">
        <v>4</v>
      </c>
      <c r="B470" t="str">
        <f>CHOOSE(MATCH(A470,{"Jan","Feb","Mar","Apr","May","Jun","Jul","Aug","Sep","Oct","Nov","Dec"},0), "Q1","Q1","Q1", "Q2","Q2","Q2", "Q3","Q3","Q3", "Q4","Q4","Q4")</f>
        <v>Q1</v>
      </c>
      <c r="C470" t="s">
        <v>23</v>
      </c>
      <c r="D470" t="s">
        <v>51</v>
      </c>
      <c r="E470" t="s">
        <v>47</v>
      </c>
      <c r="F470" s="4">
        <v>6375</v>
      </c>
      <c r="G470" s="4">
        <v>6019</v>
      </c>
      <c r="H470" s="7">
        <f t="shared" si="21"/>
        <v>-356</v>
      </c>
      <c r="I470" s="9">
        <f t="shared" si="22"/>
        <v>-5.5843137254901962E-2</v>
      </c>
      <c r="J470" t="str">
        <f t="shared" si="23"/>
        <v>Favourable</v>
      </c>
    </row>
    <row r="471" spans="1:10" x14ac:dyDescent="0.5">
      <c r="A471" t="s">
        <v>7</v>
      </c>
      <c r="B471" t="str">
        <f>CHOOSE(MATCH(A471,{"Jan","Feb","Mar","Apr","May","Jun","Jul","Aug","Sep","Oct","Nov","Dec"},0), "Q1","Q1","Q1", "Q2","Q2","Q2", "Q3","Q3","Q3", "Q4","Q4","Q4")</f>
        <v>Q1</v>
      </c>
      <c r="C471" t="s">
        <v>23</v>
      </c>
      <c r="D471" t="s">
        <v>51</v>
      </c>
      <c r="E471" t="s">
        <v>47</v>
      </c>
      <c r="F471" s="4">
        <v>6150</v>
      </c>
      <c r="G471" s="4">
        <v>6066</v>
      </c>
      <c r="H471" s="7">
        <f t="shared" si="21"/>
        <v>-84</v>
      </c>
      <c r="I471" s="9">
        <f t="shared" si="22"/>
        <v>-1.3658536585365854E-2</v>
      </c>
      <c r="J471" t="str">
        <f t="shared" si="23"/>
        <v>Favourable</v>
      </c>
    </row>
    <row r="472" spans="1:10" x14ac:dyDescent="0.5">
      <c r="A472" t="s">
        <v>8</v>
      </c>
      <c r="B472" t="str">
        <f>CHOOSE(MATCH(A472,{"Jan","Feb","Mar","Apr","May","Jun","Jul","Aug","Sep","Oct","Nov","Dec"},0), "Q1","Q1","Q1", "Q2","Q2","Q2", "Q3","Q3","Q3", "Q4","Q4","Q4")</f>
        <v>Q1</v>
      </c>
      <c r="C472" t="s">
        <v>23</v>
      </c>
      <c r="D472" t="s">
        <v>51</v>
      </c>
      <c r="E472" t="s">
        <v>47</v>
      </c>
      <c r="F472" s="4">
        <v>6900</v>
      </c>
      <c r="G472" s="4">
        <v>6386</v>
      </c>
      <c r="H472" s="7">
        <f t="shared" si="21"/>
        <v>-514</v>
      </c>
      <c r="I472" s="9">
        <f t="shared" si="22"/>
        <v>-7.4492753623188412E-2</v>
      </c>
      <c r="J472" t="str">
        <f t="shared" si="23"/>
        <v>Favourable</v>
      </c>
    </row>
    <row r="473" spans="1:10" x14ac:dyDescent="0.5">
      <c r="A473" t="s">
        <v>9</v>
      </c>
      <c r="B473" t="str">
        <f>CHOOSE(MATCH(A473,{"Jan","Feb","Mar","Apr","May","Jun","Jul","Aug","Sep","Oct","Nov","Dec"},0), "Q1","Q1","Q1", "Q2","Q2","Q2", "Q3","Q3","Q3", "Q4","Q4","Q4")</f>
        <v>Q2</v>
      </c>
      <c r="C473" t="s">
        <v>23</v>
      </c>
      <c r="D473" t="s">
        <v>51</v>
      </c>
      <c r="E473" t="s">
        <v>47</v>
      </c>
      <c r="F473" s="4">
        <v>7125</v>
      </c>
      <c r="G473" s="4">
        <v>7352</v>
      </c>
      <c r="H473" s="7">
        <f t="shared" si="21"/>
        <v>227</v>
      </c>
      <c r="I473" s="9">
        <f t="shared" si="22"/>
        <v>3.1859649122807018E-2</v>
      </c>
      <c r="J473" t="str">
        <f t="shared" si="23"/>
        <v>Unfavourable</v>
      </c>
    </row>
    <row r="474" spans="1:10" x14ac:dyDescent="0.5">
      <c r="A474" t="s">
        <v>10</v>
      </c>
      <c r="B474" t="str">
        <f>CHOOSE(MATCH(A474,{"Jan","Feb","Mar","Apr","May","Jun","Jul","Aug","Sep","Oct","Nov","Dec"},0), "Q1","Q1","Q1", "Q2","Q2","Q2", "Q3","Q3","Q3", "Q4","Q4","Q4")</f>
        <v>Q2</v>
      </c>
      <c r="C474" t="s">
        <v>23</v>
      </c>
      <c r="D474" t="s">
        <v>51</v>
      </c>
      <c r="E474" t="s">
        <v>47</v>
      </c>
      <c r="F474" s="4">
        <v>7500</v>
      </c>
      <c r="G474" s="4">
        <v>7416</v>
      </c>
      <c r="H474" s="7">
        <f t="shared" si="21"/>
        <v>-84</v>
      </c>
      <c r="I474" s="9">
        <f t="shared" si="22"/>
        <v>-1.12E-2</v>
      </c>
      <c r="J474" t="str">
        <f t="shared" si="23"/>
        <v>Favourable</v>
      </c>
    </row>
    <row r="475" spans="1:10" x14ac:dyDescent="0.5">
      <c r="A475" t="s">
        <v>11</v>
      </c>
      <c r="B475" t="str">
        <f>CHOOSE(MATCH(A475,{"Jan","Feb","Mar","Apr","May","Jun","Jul","Aug","Sep","Oct","Nov","Dec"},0), "Q1","Q1","Q1", "Q2","Q2","Q2", "Q3","Q3","Q3", "Q4","Q4","Q4")</f>
        <v>Q2</v>
      </c>
      <c r="C475" t="s">
        <v>23</v>
      </c>
      <c r="D475" t="s">
        <v>51</v>
      </c>
      <c r="E475" t="s">
        <v>47</v>
      </c>
      <c r="F475" s="4">
        <v>7650</v>
      </c>
      <c r="G475" s="4">
        <v>8392</v>
      </c>
      <c r="H475" s="7">
        <f t="shared" si="21"/>
        <v>742</v>
      </c>
      <c r="I475" s="9">
        <f t="shared" si="22"/>
        <v>9.6993464052287579E-2</v>
      </c>
      <c r="J475" t="str">
        <f t="shared" si="23"/>
        <v>Unfavourable</v>
      </c>
    </row>
    <row r="476" spans="1:10" x14ac:dyDescent="0.5">
      <c r="A476" t="s">
        <v>12</v>
      </c>
      <c r="B476" t="str">
        <f>CHOOSE(MATCH(A476,{"Jan","Feb","Mar","Apr","May","Jun","Jul","Aug","Sep","Oct","Nov","Dec"},0), "Q1","Q1","Q1", "Q2","Q2","Q2", "Q3","Q3","Q3", "Q4","Q4","Q4")</f>
        <v>Q3</v>
      </c>
      <c r="C476" t="s">
        <v>23</v>
      </c>
      <c r="D476" t="s">
        <v>51</v>
      </c>
      <c r="E476" t="s">
        <v>47</v>
      </c>
      <c r="F476" s="4">
        <v>6600</v>
      </c>
      <c r="G476" s="4">
        <v>6668</v>
      </c>
      <c r="H476" s="7">
        <f t="shared" si="21"/>
        <v>68</v>
      </c>
      <c r="I476" s="9">
        <f t="shared" si="22"/>
        <v>1.0303030303030303E-2</v>
      </c>
      <c r="J476" t="str">
        <f t="shared" si="23"/>
        <v>Unfavourable</v>
      </c>
    </row>
    <row r="477" spans="1:10" x14ac:dyDescent="0.5">
      <c r="A477" t="s">
        <v>13</v>
      </c>
      <c r="B477" t="str">
        <f>CHOOSE(MATCH(A477,{"Jan","Feb","Mar","Apr","May","Jun","Jul","Aug","Sep","Oct","Nov","Dec"},0), "Q1","Q1","Q1", "Q2","Q2","Q2", "Q3","Q3","Q3", "Q4","Q4","Q4")</f>
        <v>Q3</v>
      </c>
      <c r="C477" t="s">
        <v>23</v>
      </c>
      <c r="D477" t="s">
        <v>51</v>
      </c>
      <c r="E477" t="s">
        <v>47</v>
      </c>
      <c r="F477" s="4">
        <v>6375</v>
      </c>
      <c r="G477" s="4">
        <v>6256</v>
      </c>
      <c r="H477" s="7">
        <f t="shared" si="21"/>
        <v>-119</v>
      </c>
      <c r="I477" s="9">
        <f t="shared" si="22"/>
        <v>-1.8666666666666668E-2</v>
      </c>
      <c r="J477" t="str">
        <f t="shared" si="23"/>
        <v>Favourable</v>
      </c>
    </row>
    <row r="478" spans="1:10" x14ac:dyDescent="0.5">
      <c r="A478" t="s">
        <v>14</v>
      </c>
      <c r="B478" t="str">
        <f>CHOOSE(MATCH(A478,{"Jan","Feb","Mar","Apr","May","Jun","Jul","Aug","Sep","Oct","Nov","Dec"},0), "Q1","Q1","Q1", "Q2","Q2","Q2", "Q3","Q3","Q3", "Q4","Q4","Q4")</f>
        <v>Q3</v>
      </c>
      <c r="C478" t="s">
        <v>23</v>
      </c>
      <c r="D478" t="s">
        <v>51</v>
      </c>
      <c r="E478" t="s">
        <v>47</v>
      </c>
      <c r="F478" s="4">
        <v>7500</v>
      </c>
      <c r="G478" s="4">
        <v>7706</v>
      </c>
      <c r="H478" s="7">
        <f t="shared" si="21"/>
        <v>206</v>
      </c>
      <c r="I478" s="9">
        <f t="shared" si="22"/>
        <v>2.7466666666666667E-2</v>
      </c>
      <c r="J478" t="str">
        <f t="shared" si="23"/>
        <v>Unfavourable</v>
      </c>
    </row>
    <row r="479" spans="1:10" x14ac:dyDescent="0.5">
      <c r="A479" t="s">
        <v>15</v>
      </c>
      <c r="B479" t="str">
        <f>CHOOSE(MATCH(A479,{"Jan","Feb","Mar","Apr","May","Jun","Jul","Aug","Sep","Oct","Nov","Dec"},0), "Q1","Q1","Q1", "Q2","Q2","Q2", "Q3","Q3","Q3", "Q4","Q4","Q4")</f>
        <v>Q4</v>
      </c>
      <c r="C479" t="s">
        <v>23</v>
      </c>
      <c r="D479" t="s">
        <v>51</v>
      </c>
      <c r="E479" t="s">
        <v>47</v>
      </c>
      <c r="F479" s="4">
        <v>7875</v>
      </c>
      <c r="G479" s="4">
        <v>7676</v>
      </c>
      <c r="H479" s="7">
        <f t="shared" si="21"/>
        <v>-199</v>
      </c>
      <c r="I479" s="9">
        <f t="shared" si="22"/>
        <v>-2.5269841269841269E-2</v>
      </c>
      <c r="J479" t="str">
        <f t="shared" si="23"/>
        <v>Favourable</v>
      </c>
    </row>
    <row r="480" spans="1:10" x14ac:dyDescent="0.5">
      <c r="A480" t="s">
        <v>16</v>
      </c>
      <c r="B480" t="str">
        <f>CHOOSE(MATCH(A480,{"Jan","Feb","Mar","Apr","May","Jun","Jul","Aug","Sep","Oct","Nov","Dec"},0), "Q1","Q1","Q1", "Q2","Q2","Q2", "Q3","Q3","Q3", "Q4","Q4","Q4")</f>
        <v>Q4</v>
      </c>
      <c r="C480" t="s">
        <v>23</v>
      </c>
      <c r="D480" t="s">
        <v>51</v>
      </c>
      <c r="E480" t="s">
        <v>47</v>
      </c>
      <c r="F480" s="4">
        <v>8100</v>
      </c>
      <c r="G480" s="4">
        <v>7558</v>
      </c>
      <c r="H480" s="7">
        <f t="shared" si="21"/>
        <v>-542</v>
      </c>
      <c r="I480" s="9">
        <f t="shared" si="22"/>
        <v>-6.6913580246913587E-2</v>
      </c>
      <c r="J480" t="str">
        <f t="shared" si="23"/>
        <v>Favourable</v>
      </c>
    </row>
    <row r="481" spans="1:10" x14ac:dyDescent="0.5">
      <c r="A481" t="s">
        <v>17</v>
      </c>
      <c r="B481" t="str">
        <f>CHOOSE(MATCH(A481,{"Jan","Feb","Mar","Apr","May","Jun","Jul","Aug","Sep","Oct","Nov","Dec"},0), "Q1","Q1","Q1", "Q2","Q2","Q2", "Q3","Q3","Q3", "Q4","Q4","Q4")</f>
        <v>Q4</v>
      </c>
      <c r="C481" t="s">
        <v>23</v>
      </c>
      <c r="D481" t="s">
        <v>51</v>
      </c>
      <c r="E481" t="s">
        <v>47</v>
      </c>
      <c r="F481" s="4">
        <v>11850</v>
      </c>
      <c r="G481" s="4">
        <v>12029</v>
      </c>
      <c r="H481" s="7">
        <f t="shared" si="21"/>
        <v>179</v>
      </c>
      <c r="I481" s="9">
        <f t="shared" si="22"/>
        <v>1.5105485232067511E-2</v>
      </c>
      <c r="J481" t="str">
        <f t="shared" si="23"/>
        <v>Unfavourable</v>
      </c>
    </row>
    <row r="482" spans="1:10" x14ac:dyDescent="0.5">
      <c r="A482" t="s">
        <v>4</v>
      </c>
      <c r="B482" t="str">
        <f>CHOOSE(MATCH(A482,{"Jan","Feb","Mar","Apr","May","Jun","Jul","Aug","Sep","Oct","Nov","Dec"},0), "Q1","Q1","Q1", "Q2","Q2","Q2", "Q3","Q3","Q3", "Q4","Q4","Q4")</f>
        <v>Q1</v>
      </c>
      <c r="C482" t="s">
        <v>23</v>
      </c>
      <c r="D482" t="s">
        <v>52</v>
      </c>
      <c r="E482" t="s">
        <v>47</v>
      </c>
      <c r="F482" s="4">
        <v>4250</v>
      </c>
      <c r="G482" s="4">
        <v>4213</v>
      </c>
      <c r="H482" s="7">
        <f t="shared" si="21"/>
        <v>-37</v>
      </c>
      <c r="I482" s="9">
        <f t="shared" si="22"/>
        <v>-8.7058823529411761E-3</v>
      </c>
      <c r="J482" t="str">
        <f t="shared" si="23"/>
        <v>Favourable</v>
      </c>
    </row>
    <row r="483" spans="1:10" x14ac:dyDescent="0.5">
      <c r="A483" t="s">
        <v>7</v>
      </c>
      <c r="B483" t="str">
        <f>CHOOSE(MATCH(A483,{"Jan","Feb","Mar","Apr","May","Jun","Jul","Aug","Sep","Oct","Nov","Dec"},0), "Q1","Q1","Q1", "Q2","Q2","Q2", "Q3","Q3","Q3", "Q4","Q4","Q4")</f>
        <v>Q1</v>
      </c>
      <c r="C483" t="s">
        <v>23</v>
      </c>
      <c r="D483" t="s">
        <v>52</v>
      </c>
      <c r="E483" t="s">
        <v>47</v>
      </c>
      <c r="F483" s="4">
        <v>4100</v>
      </c>
      <c r="G483" s="4">
        <v>4134</v>
      </c>
      <c r="H483" s="7">
        <f t="shared" si="21"/>
        <v>34</v>
      </c>
      <c r="I483" s="9">
        <f t="shared" si="22"/>
        <v>8.2926829268292687E-3</v>
      </c>
      <c r="J483" t="str">
        <f t="shared" si="23"/>
        <v>Unfavourable</v>
      </c>
    </row>
    <row r="484" spans="1:10" x14ac:dyDescent="0.5">
      <c r="A484" t="s">
        <v>8</v>
      </c>
      <c r="B484" t="str">
        <f>CHOOSE(MATCH(A484,{"Jan","Feb","Mar","Apr","May","Jun","Jul","Aug","Sep","Oct","Nov","Dec"},0), "Q1","Q1","Q1", "Q2","Q2","Q2", "Q3","Q3","Q3", "Q4","Q4","Q4")</f>
        <v>Q1</v>
      </c>
      <c r="C484" t="s">
        <v>23</v>
      </c>
      <c r="D484" t="s">
        <v>52</v>
      </c>
      <c r="E484" t="s">
        <v>47</v>
      </c>
      <c r="F484" s="4">
        <v>4600</v>
      </c>
      <c r="G484" s="4">
        <v>4686</v>
      </c>
      <c r="H484" s="7">
        <f t="shared" si="21"/>
        <v>86</v>
      </c>
      <c r="I484" s="9">
        <f t="shared" si="22"/>
        <v>1.8695652173913044E-2</v>
      </c>
      <c r="J484" t="str">
        <f t="shared" si="23"/>
        <v>Unfavourable</v>
      </c>
    </row>
    <row r="485" spans="1:10" x14ac:dyDescent="0.5">
      <c r="A485" t="s">
        <v>9</v>
      </c>
      <c r="B485" t="str">
        <f>CHOOSE(MATCH(A485,{"Jan","Feb","Mar","Apr","May","Jun","Jul","Aug","Sep","Oct","Nov","Dec"},0), "Q1","Q1","Q1", "Q2","Q2","Q2", "Q3","Q3","Q3", "Q4","Q4","Q4")</f>
        <v>Q2</v>
      </c>
      <c r="C485" t="s">
        <v>23</v>
      </c>
      <c r="D485" t="s">
        <v>52</v>
      </c>
      <c r="E485" t="s">
        <v>47</v>
      </c>
      <c r="F485" s="4">
        <v>4750</v>
      </c>
      <c r="G485" s="4">
        <v>4629</v>
      </c>
      <c r="H485" s="7">
        <f t="shared" si="21"/>
        <v>-121</v>
      </c>
      <c r="I485" s="9">
        <f t="shared" si="22"/>
        <v>-2.5473684210526315E-2</v>
      </c>
      <c r="J485" t="str">
        <f t="shared" si="23"/>
        <v>Favourable</v>
      </c>
    </row>
    <row r="486" spans="1:10" x14ac:dyDescent="0.5">
      <c r="A486" t="s">
        <v>10</v>
      </c>
      <c r="B486" t="str">
        <f>CHOOSE(MATCH(A486,{"Jan","Feb","Mar","Apr","May","Jun","Jul","Aug","Sep","Oct","Nov","Dec"},0), "Q1","Q1","Q1", "Q2","Q2","Q2", "Q3","Q3","Q3", "Q4","Q4","Q4")</f>
        <v>Q2</v>
      </c>
      <c r="C486" t="s">
        <v>23</v>
      </c>
      <c r="D486" t="s">
        <v>52</v>
      </c>
      <c r="E486" t="s">
        <v>47</v>
      </c>
      <c r="F486" s="4">
        <v>5000</v>
      </c>
      <c r="G486" s="4">
        <v>5105</v>
      </c>
      <c r="H486" s="7">
        <f t="shared" si="21"/>
        <v>105</v>
      </c>
      <c r="I486" s="9">
        <f t="shared" si="22"/>
        <v>2.1000000000000001E-2</v>
      </c>
      <c r="J486" t="str">
        <f t="shared" si="23"/>
        <v>Unfavourable</v>
      </c>
    </row>
    <row r="487" spans="1:10" x14ac:dyDescent="0.5">
      <c r="A487" t="s">
        <v>11</v>
      </c>
      <c r="B487" t="str">
        <f>CHOOSE(MATCH(A487,{"Jan","Feb","Mar","Apr","May","Jun","Jul","Aug","Sep","Oct","Nov","Dec"},0), "Q1","Q1","Q1", "Q2","Q2","Q2", "Q3","Q3","Q3", "Q4","Q4","Q4")</f>
        <v>Q2</v>
      </c>
      <c r="C487" t="s">
        <v>23</v>
      </c>
      <c r="D487" t="s">
        <v>52</v>
      </c>
      <c r="E487" t="s">
        <v>47</v>
      </c>
      <c r="F487" s="4">
        <v>5100</v>
      </c>
      <c r="G487" s="4">
        <v>5543</v>
      </c>
      <c r="H487" s="7">
        <f t="shared" si="21"/>
        <v>443</v>
      </c>
      <c r="I487" s="9">
        <f t="shared" si="22"/>
        <v>8.6862745098039221E-2</v>
      </c>
      <c r="J487" t="str">
        <f t="shared" si="23"/>
        <v>Unfavourable</v>
      </c>
    </row>
    <row r="488" spans="1:10" x14ac:dyDescent="0.5">
      <c r="A488" t="s">
        <v>12</v>
      </c>
      <c r="B488" t="str">
        <f>CHOOSE(MATCH(A488,{"Jan","Feb","Mar","Apr","May","Jun","Jul","Aug","Sep","Oct","Nov","Dec"},0), "Q1","Q1","Q1", "Q2","Q2","Q2", "Q3","Q3","Q3", "Q4","Q4","Q4")</f>
        <v>Q3</v>
      </c>
      <c r="C488" t="s">
        <v>23</v>
      </c>
      <c r="D488" t="s">
        <v>52</v>
      </c>
      <c r="E488" t="s">
        <v>47</v>
      </c>
      <c r="F488" s="4">
        <v>4400</v>
      </c>
      <c r="G488" s="4">
        <v>4156</v>
      </c>
      <c r="H488" s="7">
        <f t="shared" si="21"/>
        <v>-244</v>
      </c>
      <c r="I488" s="9">
        <f t="shared" si="22"/>
        <v>-5.5454545454545458E-2</v>
      </c>
      <c r="J488" t="str">
        <f t="shared" si="23"/>
        <v>Favourable</v>
      </c>
    </row>
    <row r="489" spans="1:10" x14ac:dyDescent="0.5">
      <c r="A489" t="s">
        <v>13</v>
      </c>
      <c r="B489" t="str">
        <f>CHOOSE(MATCH(A489,{"Jan","Feb","Mar","Apr","May","Jun","Jul","Aug","Sep","Oct","Nov","Dec"},0), "Q1","Q1","Q1", "Q2","Q2","Q2", "Q3","Q3","Q3", "Q4","Q4","Q4")</f>
        <v>Q3</v>
      </c>
      <c r="C489" t="s">
        <v>23</v>
      </c>
      <c r="D489" t="s">
        <v>52</v>
      </c>
      <c r="E489" t="s">
        <v>47</v>
      </c>
      <c r="F489" s="4">
        <v>4250</v>
      </c>
      <c r="G489" s="4">
        <v>4619</v>
      </c>
      <c r="H489" s="7">
        <f t="shared" si="21"/>
        <v>369</v>
      </c>
      <c r="I489" s="9">
        <f t="shared" si="22"/>
        <v>8.6823529411764702E-2</v>
      </c>
      <c r="J489" t="str">
        <f t="shared" si="23"/>
        <v>Unfavourable</v>
      </c>
    </row>
    <row r="490" spans="1:10" x14ac:dyDescent="0.5">
      <c r="A490" t="s">
        <v>14</v>
      </c>
      <c r="B490" t="str">
        <f>CHOOSE(MATCH(A490,{"Jan","Feb","Mar","Apr","May","Jun","Jul","Aug","Sep","Oct","Nov","Dec"},0), "Q1","Q1","Q1", "Q2","Q2","Q2", "Q3","Q3","Q3", "Q4","Q4","Q4")</f>
        <v>Q3</v>
      </c>
      <c r="C490" t="s">
        <v>23</v>
      </c>
      <c r="D490" t="s">
        <v>52</v>
      </c>
      <c r="E490" t="s">
        <v>47</v>
      </c>
      <c r="F490" s="4">
        <v>5000</v>
      </c>
      <c r="G490" s="4">
        <v>4939</v>
      </c>
      <c r="H490" s="7">
        <f t="shared" si="21"/>
        <v>-61</v>
      </c>
      <c r="I490" s="9">
        <f t="shared" si="22"/>
        <v>-1.2200000000000001E-2</v>
      </c>
      <c r="J490" t="str">
        <f t="shared" si="23"/>
        <v>Favourable</v>
      </c>
    </row>
    <row r="491" spans="1:10" x14ac:dyDescent="0.5">
      <c r="A491" t="s">
        <v>15</v>
      </c>
      <c r="B491" t="str">
        <f>CHOOSE(MATCH(A491,{"Jan","Feb","Mar","Apr","May","Jun","Jul","Aug","Sep","Oct","Nov","Dec"},0), "Q1","Q1","Q1", "Q2","Q2","Q2", "Q3","Q3","Q3", "Q4","Q4","Q4")</f>
        <v>Q4</v>
      </c>
      <c r="C491" t="s">
        <v>23</v>
      </c>
      <c r="D491" t="s">
        <v>52</v>
      </c>
      <c r="E491" t="s">
        <v>47</v>
      </c>
      <c r="F491" s="4">
        <v>5250</v>
      </c>
      <c r="G491" s="4">
        <v>5049</v>
      </c>
      <c r="H491" s="7">
        <f t="shared" si="21"/>
        <v>-201</v>
      </c>
      <c r="I491" s="9">
        <f t="shared" si="22"/>
        <v>-3.8285714285714284E-2</v>
      </c>
      <c r="J491" t="str">
        <f t="shared" si="23"/>
        <v>Favourable</v>
      </c>
    </row>
    <row r="492" spans="1:10" x14ac:dyDescent="0.5">
      <c r="A492" t="s">
        <v>16</v>
      </c>
      <c r="B492" t="str">
        <f>CHOOSE(MATCH(A492,{"Jan","Feb","Mar","Apr","May","Jun","Jul","Aug","Sep","Oct","Nov","Dec"},0), "Q1","Q1","Q1", "Q2","Q2","Q2", "Q3","Q3","Q3", "Q4","Q4","Q4")</f>
        <v>Q4</v>
      </c>
      <c r="C492" t="s">
        <v>23</v>
      </c>
      <c r="D492" t="s">
        <v>52</v>
      </c>
      <c r="E492" t="s">
        <v>47</v>
      </c>
      <c r="F492" s="4">
        <v>5400</v>
      </c>
      <c r="G492" s="4">
        <v>6055</v>
      </c>
      <c r="H492" s="7">
        <f t="shared" si="21"/>
        <v>655</v>
      </c>
      <c r="I492" s="9">
        <f t="shared" si="22"/>
        <v>0.12129629629629629</v>
      </c>
      <c r="J492" t="str">
        <f t="shared" si="23"/>
        <v>Unfavourable</v>
      </c>
    </row>
    <row r="493" spans="1:10" x14ac:dyDescent="0.5">
      <c r="A493" t="s">
        <v>17</v>
      </c>
      <c r="B493" t="str">
        <f>CHOOSE(MATCH(A493,{"Jan","Feb","Mar","Apr","May","Jun","Jul","Aug","Sep","Oct","Nov","Dec"},0), "Q1","Q1","Q1", "Q2","Q2","Q2", "Q3","Q3","Q3", "Q4","Q4","Q4")</f>
        <v>Q4</v>
      </c>
      <c r="C493" t="s">
        <v>23</v>
      </c>
      <c r="D493" t="s">
        <v>52</v>
      </c>
      <c r="E493" t="s">
        <v>47</v>
      </c>
      <c r="F493" s="4">
        <v>7900</v>
      </c>
      <c r="G493" s="4">
        <v>7961</v>
      </c>
      <c r="H493" s="7">
        <f t="shared" si="21"/>
        <v>61</v>
      </c>
      <c r="I493" s="9">
        <f t="shared" si="22"/>
        <v>7.7215189873417718E-3</v>
      </c>
      <c r="J493" t="str">
        <f t="shared" si="23"/>
        <v>Unfavourable</v>
      </c>
    </row>
    <row r="494" spans="1:10" x14ac:dyDescent="0.5">
      <c r="A494" t="s">
        <v>4</v>
      </c>
      <c r="B494" t="str">
        <f>CHOOSE(MATCH(A494,{"Jan","Feb","Mar","Apr","May","Jun","Jul","Aug","Sep","Oct","Nov","Dec"},0), "Q1","Q1","Q1", "Q2","Q2","Q2", "Q3","Q3","Q3", "Q4","Q4","Q4")</f>
        <v>Q1</v>
      </c>
      <c r="C494" t="s">
        <v>23</v>
      </c>
      <c r="D494" t="s">
        <v>32</v>
      </c>
      <c r="E494" t="s">
        <v>47</v>
      </c>
      <c r="F494" s="4">
        <v>1417</v>
      </c>
      <c r="G494" s="4">
        <v>1556</v>
      </c>
      <c r="H494" s="7">
        <f t="shared" si="21"/>
        <v>139</v>
      </c>
      <c r="I494" s="9">
        <f t="shared" si="22"/>
        <v>9.8094565984474247E-2</v>
      </c>
      <c r="J494" t="str">
        <f t="shared" si="23"/>
        <v>Unfavourable</v>
      </c>
    </row>
    <row r="495" spans="1:10" x14ac:dyDescent="0.5">
      <c r="A495" t="s">
        <v>7</v>
      </c>
      <c r="B495" t="str">
        <f>CHOOSE(MATCH(A495,{"Jan","Feb","Mar","Apr","May","Jun","Jul","Aug","Sep","Oct","Nov","Dec"},0), "Q1","Q1","Q1", "Q2","Q2","Q2", "Q3","Q3","Q3", "Q4","Q4","Q4")</f>
        <v>Q1</v>
      </c>
      <c r="C495" t="s">
        <v>23</v>
      </c>
      <c r="D495" t="s">
        <v>32</v>
      </c>
      <c r="E495" t="s">
        <v>47</v>
      </c>
      <c r="F495" s="4">
        <v>1367</v>
      </c>
      <c r="G495" s="4">
        <v>1387</v>
      </c>
      <c r="H495" s="7">
        <f t="shared" si="21"/>
        <v>20</v>
      </c>
      <c r="I495" s="9">
        <f t="shared" si="22"/>
        <v>1.4630577907827359E-2</v>
      </c>
      <c r="J495" t="str">
        <f t="shared" si="23"/>
        <v>Unfavourable</v>
      </c>
    </row>
    <row r="496" spans="1:10" x14ac:dyDescent="0.5">
      <c r="A496" t="s">
        <v>8</v>
      </c>
      <c r="B496" t="str">
        <f>CHOOSE(MATCH(A496,{"Jan","Feb","Mar","Apr","May","Jun","Jul","Aug","Sep","Oct","Nov","Dec"},0), "Q1","Q1","Q1", "Q2","Q2","Q2", "Q3","Q3","Q3", "Q4","Q4","Q4")</f>
        <v>Q1</v>
      </c>
      <c r="C496" t="s">
        <v>23</v>
      </c>
      <c r="D496" t="s">
        <v>32</v>
      </c>
      <c r="E496" t="s">
        <v>47</v>
      </c>
      <c r="F496" s="4">
        <v>1533</v>
      </c>
      <c r="G496" s="4">
        <v>1286</v>
      </c>
      <c r="H496" s="7">
        <f t="shared" si="21"/>
        <v>-247</v>
      </c>
      <c r="I496" s="9">
        <f t="shared" si="22"/>
        <v>-0.16112198303979125</v>
      </c>
      <c r="J496" t="str">
        <f t="shared" si="23"/>
        <v>Favourable</v>
      </c>
    </row>
    <row r="497" spans="1:10" x14ac:dyDescent="0.5">
      <c r="A497" t="s">
        <v>9</v>
      </c>
      <c r="B497" t="str">
        <f>CHOOSE(MATCH(A497,{"Jan","Feb","Mar","Apr","May","Jun","Jul","Aug","Sep","Oct","Nov","Dec"},0), "Q1","Q1","Q1", "Q2","Q2","Q2", "Q3","Q3","Q3", "Q4","Q4","Q4")</f>
        <v>Q2</v>
      </c>
      <c r="C497" t="s">
        <v>23</v>
      </c>
      <c r="D497" t="s">
        <v>32</v>
      </c>
      <c r="E497" t="s">
        <v>47</v>
      </c>
      <c r="F497" s="4">
        <v>1583</v>
      </c>
      <c r="G497" s="4">
        <v>1602</v>
      </c>
      <c r="H497" s="7">
        <f t="shared" si="21"/>
        <v>19</v>
      </c>
      <c r="I497" s="9">
        <f t="shared" si="22"/>
        <v>1.2002526847757423E-2</v>
      </c>
      <c r="J497" t="str">
        <f t="shared" si="23"/>
        <v>Unfavourable</v>
      </c>
    </row>
    <row r="498" spans="1:10" x14ac:dyDescent="0.5">
      <c r="A498" t="s">
        <v>10</v>
      </c>
      <c r="B498" t="str">
        <f>CHOOSE(MATCH(A498,{"Jan","Feb","Mar","Apr","May","Jun","Jul","Aug","Sep","Oct","Nov","Dec"},0), "Q1","Q1","Q1", "Q2","Q2","Q2", "Q3","Q3","Q3", "Q4","Q4","Q4")</f>
        <v>Q2</v>
      </c>
      <c r="C498" t="s">
        <v>23</v>
      </c>
      <c r="D498" t="s">
        <v>32</v>
      </c>
      <c r="E498" t="s">
        <v>47</v>
      </c>
      <c r="F498" s="4">
        <v>1667</v>
      </c>
      <c r="G498" s="4">
        <v>1745</v>
      </c>
      <c r="H498" s="7">
        <f t="shared" si="21"/>
        <v>78</v>
      </c>
      <c r="I498" s="9">
        <f t="shared" si="22"/>
        <v>4.6790641871625675E-2</v>
      </c>
      <c r="J498" t="str">
        <f t="shared" si="23"/>
        <v>Unfavourable</v>
      </c>
    </row>
    <row r="499" spans="1:10" x14ac:dyDescent="0.5">
      <c r="A499" t="s">
        <v>11</v>
      </c>
      <c r="B499" t="str">
        <f>CHOOSE(MATCH(A499,{"Jan","Feb","Mar","Apr","May","Jun","Jul","Aug","Sep","Oct","Nov","Dec"},0), "Q1","Q1","Q1", "Q2","Q2","Q2", "Q3","Q3","Q3", "Q4","Q4","Q4")</f>
        <v>Q2</v>
      </c>
      <c r="C499" t="s">
        <v>23</v>
      </c>
      <c r="D499" t="s">
        <v>32</v>
      </c>
      <c r="E499" t="s">
        <v>47</v>
      </c>
      <c r="F499" s="4">
        <v>1700</v>
      </c>
      <c r="G499" s="4">
        <v>1537</v>
      </c>
      <c r="H499" s="7">
        <f t="shared" si="21"/>
        <v>-163</v>
      </c>
      <c r="I499" s="9">
        <f t="shared" si="22"/>
        <v>-9.5882352941176474E-2</v>
      </c>
      <c r="J499" t="str">
        <f t="shared" si="23"/>
        <v>Favourable</v>
      </c>
    </row>
    <row r="500" spans="1:10" x14ac:dyDescent="0.5">
      <c r="A500" t="s">
        <v>12</v>
      </c>
      <c r="B500" t="str">
        <f>CHOOSE(MATCH(A500,{"Jan","Feb","Mar","Apr","May","Jun","Jul","Aug","Sep","Oct","Nov","Dec"},0), "Q1","Q1","Q1", "Q2","Q2","Q2", "Q3","Q3","Q3", "Q4","Q4","Q4")</f>
        <v>Q3</v>
      </c>
      <c r="C500" t="s">
        <v>23</v>
      </c>
      <c r="D500" t="s">
        <v>32</v>
      </c>
      <c r="E500" t="s">
        <v>47</v>
      </c>
      <c r="F500" s="4">
        <v>1467</v>
      </c>
      <c r="G500" s="4">
        <v>1369</v>
      </c>
      <c r="H500" s="7">
        <f t="shared" si="21"/>
        <v>-98</v>
      </c>
      <c r="I500" s="9">
        <f t="shared" si="22"/>
        <v>-6.6802999318336748E-2</v>
      </c>
      <c r="J500" t="str">
        <f t="shared" si="23"/>
        <v>Favourable</v>
      </c>
    </row>
    <row r="501" spans="1:10" x14ac:dyDescent="0.5">
      <c r="A501" t="s">
        <v>13</v>
      </c>
      <c r="B501" t="str">
        <f>CHOOSE(MATCH(A501,{"Jan","Feb","Mar","Apr","May","Jun","Jul","Aug","Sep","Oct","Nov","Dec"},0), "Q1","Q1","Q1", "Q2","Q2","Q2", "Q3","Q3","Q3", "Q4","Q4","Q4")</f>
        <v>Q3</v>
      </c>
      <c r="C501" t="s">
        <v>23</v>
      </c>
      <c r="D501" t="s">
        <v>32</v>
      </c>
      <c r="E501" t="s">
        <v>47</v>
      </c>
      <c r="F501" s="4">
        <v>1417</v>
      </c>
      <c r="G501" s="4">
        <v>1382</v>
      </c>
      <c r="H501" s="7">
        <f t="shared" si="21"/>
        <v>-35</v>
      </c>
      <c r="I501" s="9">
        <f t="shared" si="22"/>
        <v>-2.4700070571630206E-2</v>
      </c>
      <c r="J501" t="str">
        <f t="shared" si="23"/>
        <v>Favourable</v>
      </c>
    </row>
    <row r="502" spans="1:10" x14ac:dyDescent="0.5">
      <c r="A502" t="s">
        <v>14</v>
      </c>
      <c r="B502" t="str">
        <f>CHOOSE(MATCH(A502,{"Jan","Feb","Mar","Apr","May","Jun","Jul","Aug","Sep","Oct","Nov","Dec"},0), "Q1","Q1","Q1", "Q2","Q2","Q2", "Q3","Q3","Q3", "Q4","Q4","Q4")</f>
        <v>Q3</v>
      </c>
      <c r="C502" t="s">
        <v>23</v>
      </c>
      <c r="D502" t="s">
        <v>32</v>
      </c>
      <c r="E502" t="s">
        <v>47</v>
      </c>
      <c r="F502" s="4">
        <v>1667</v>
      </c>
      <c r="G502" s="4">
        <v>1488</v>
      </c>
      <c r="H502" s="7">
        <f t="shared" si="21"/>
        <v>-179</v>
      </c>
      <c r="I502" s="9">
        <f t="shared" si="22"/>
        <v>-0.10737852429514097</v>
      </c>
      <c r="J502" t="str">
        <f t="shared" si="23"/>
        <v>Favourable</v>
      </c>
    </row>
    <row r="503" spans="1:10" x14ac:dyDescent="0.5">
      <c r="A503" t="s">
        <v>15</v>
      </c>
      <c r="B503" t="str">
        <f>CHOOSE(MATCH(A503,{"Jan","Feb","Mar","Apr","May","Jun","Jul","Aug","Sep","Oct","Nov","Dec"},0), "Q1","Q1","Q1", "Q2","Q2","Q2", "Q3","Q3","Q3", "Q4","Q4","Q4")</f>
        <v>Q4</v>
      </c>
      <c r="C503" t="s">
        <v>23</v>
      </c>
      <c r="D503" t="s">
        <v>32</v>
      </c>
      <c r="E503" t="s">
        <v>47</v>
      </c>
      <c r="F503" s="4">
        <v>1750</v>
      </c>
      <c r="G503" s="4">
        <v>1590</v>
      </c>
      <c r="H503" s="7">
        <f t="shared" si="21"/>
        <v>-160</v>
      </c>
      <c r="I503" s="9">
        <f t="shared" si="22"/>
        <v>-9.1428571428571428E-2</v>
      </c>
      <c r="J503" t="str">
        <f t="shared" si="23"/>
        <v>Favourable</v>
      </c>
    </row>
    <row r="504" spans="1:10" x14ac:dyDescent="0.5">
      <c r="A504" t="s">
        <v>16</v>
      </c>
      <c r="B504" t="str">
        <f>CHOOSE(MATCH(A504,{"Jan","Feb","Mar","Apr","May","Jun","Jul","Aug","Sep","Oct","Nov","Dec"},0), "Q1","Q1","Q1", "Q2","Q2","Q2", "Q3","Q3","Q3", "Q4","Q4","Q4")</f>
        <v>Q4</v>
      </c>
      <c r="C504" t="s">
        <v>23</v>
      </c>
      <c r="D504" t="s">
        <v>32</v>
      </c>
      <c r="E504" t="s">
        <v>47</v>
      </c>
      <c r="F504" s="4">
        <v>1800</v>
      </c>
      <c r="G504" s="4">
        <v>1910</v>
      </c>
      <c r="H504" s="7">
        <f t="shared" si="21"/>
        <v>110</v>
      </c>
      <c r="I504" s="9">
        <f t="shared" si="22"/>
        <v>6.1111111111111109E-2</v>
      </c>
      <c r="J504" t="str">
        <f t="shared" si="23"/>
        <v>Unfavourable</v>
      </c>
    </row>
    <row r="505" spans="1:10" x14ac:dyDescent="0.5">
      <c r="A505" t="s">
        <v>17</v>
      </c>
      <c r="B505" t="str">
        <f>CHOOSE(MATCH(A505,{"Jan","Feb","Mar","Apr","May","Jun","Jul","Aug","Sep","Oct","Nov","Dec"},0), "Q1","Q1","Q1", "Q2","Q2","Q2", "Q3","Q3","Q3", "Q4","Q4","Q4")</f>
        <v>Q4</v>
      </c>
      <c r="C505" t="s">
        <v>23</v>
      </c>
      <c r="D505" t="s">
        <v>32</v>
      </c>
      <c r="E505" t="s">
        <v>47</v>
      </c>
      <c r="F505" s="4">
        <v>2633</v>
      </c>
      <c r="G505" s="4">
        <v>2782</v>
      </c>
      <c r="H505" s="7">
        <f t="shared" si="21"/>
        <v>149</v>
      </c>
      <c r="I505" s="9">
        <f t="shared" si="22"/>
        <v>5.6589441701481197E-2</v>
      </c>
      <c r="J505" t="str">
        <f t="shared" si="23"/>
        <v>Unfavourable</v>
      </c>
    </row>
    <row r="506" spans="1:10" x14ac:dyDescent="0.5">
      <c r="A506" t="s">
        <v>4</v>
      </c>
      <c r="B506" t="str">
        <f>CHOOSE(MATCH(A506,{"Jan","Feb","Mar","Apr","May","Jun","Jul","Aug","Sep","Oct","Nov","Dec"},0), "Q1","Q1","Q1", "Q2","Q2","Q2", "Q3","Q3","Q3", "Q4","Q4","Q4")</f>
        <v>Q1</v>
      </c>
      <c r="C506" t="s">
        <v>23</v>
      </c>
      <c r="D506" t="s">
        <v>25</v>
      </c>
      <c r="E506" t="s">
        <v>53</v>
      </c>
      <c r="F506" s="4">
        <v>51000</v>
      </c>
      <c r="G506" s="4">
        <v>50807</v>
      </c>
      <c r="H506" s="7">
        <f t="shared" si="21"/>
        <v>-193</v>
      </c>
      <c r="I506" s="9">
        <f t="shared" si="22"/>
        <v>-3.7843137254901962E-3</v>
      </c>
      <c r="J506" t="str">
        <f t="shared" si="23"/>
        <v>Favourable</v>
      </c>
    </row>
    <row r="507" spans="1:10" x14ac:dyDescent="0.5">
      <c r="A507" t="s">
        <v>7</v>
      </c>
      <c r="B507" t="str">
        <f>CHOOSE(MATCH(A507,{"Jan","Feb","Mar","Apr","May","Jun","Jul","Aug","Sep","Oct","Nov","Dec"},0), "Q1","Q1","Q1", "Q2","Q2","Q2", "Q3","Q3","Q3", "Q4","Q4","Q4")</f>
        <v>Q1</v>
      </c>
      <c r="C507" t="s">
        <v>23</v>
      </c>
      <c r="D507" t="s">
        <v>25</v>
      </c>
      <c r="E507" t="s">
        <v>53</v>
      </c>
      <c r="F507" s="4">
        <v>49200</v>
      </c>
      <c r="G507" s="4">
        <v>49515</v>
      </c>
      <c r="H507" s="7">
        <f t="shared" si="21"/>
        <v>315</v>
      </c>
      <c r="I507" s="9">
        <f t="shared" si="22"/>
        <v>6.4024390243902435E-3</v>
      </c>
      <c r="J507" t="str">
        <f t="shared" si="23"/>
        <v>Unfavourable</v>
      </c>
    </row>
    <row r="508" spans="1:10" x14ac:dyDescent="0.5">
      <c r="A508" t="s">
        <v>8</v>
      </c>
      <c r="B508" t="str">
        <f>CHOOSE(MATCH(A508,{"Jan","Feb","Mar","Apr","May","Jun","Jul","Aug","Sep","Oct","Nov","Dec"},0), "Q1","Q1","Q1", "Q2","Q2","Q2", "Q3","Q3","Q3", "Q4","Q4","Q4")</f>
        <v>Q1</v>
      </c>
      <c r="C508" t="s">
        <v>23</v>
      </c>
      <c r="D508" t="s">
        <v>25</v>
      </c>
      <c r="E508" t="s">
        <v>53</v>
      </c>
      <c r="F508" s="4">
        <v>55200</v>
      </c>
      <c r="G508" s="4">
        <v>55288</v>
      </c>
      <c r="H508" s="7">
        <f t="shared" si="21"/>
        <v>88</v>
      </c>
      <c r="I508" s="9">
        <f t="shared" si="22"/>
        <v>1.5942028985507246E-3</v>
      </c>
      <c r="J508" t="str">
        <f t="shared" si="23"/>
        <v>Unfavourable</v>
      </c>
    </row>
    <row r="509" spans="1:10" x14ac:dyDescent="0.5">
      <c r="A509" t="s">
        <v>9</v>
      </c>
      <c r="B509" t="str">
        <f>CHOOSE(MATCH(A509,{"Jan","Feb","Mar","Apr","May","Jun","Jul","Aug","Sep","Oct","Nov","Dec"},0), "Q1","Q1","Q1", "Q2","Q2","Q2", "Q3","Q3","Q3", "Q4","Q4","Q4")</f>
        <v>Q2</v>
      </c>
      <c r="C509" t="s">
        <v>23</v>
      </c>
      <c r="D509" t="s">
        <v>25</v>
      </c>
      <c r="E509" t="s">
        <v>53</v>
      </c>
      <c r="F509" s="4">
        <v>57000</v>
      </c>
      <c r="G509" s="4">
        <v>56898</v>
      </c>
      <c r="H509" s="7">
        <f t="shared" si="21"/>
        <v>-102</v>
      </c>
      <c r="I509" s="9">
        <f t="shared" si="22"/>
        <v>-1.7894736842105263E-3</v>
      </c>
      <c r="J509" t="str">
        <f t="shared" si="23"/>
        <v>Favourable</v>
      </c>
    </row>
    <row r="510" spans="1:10" x14ac:dyDescent="0.5">
      <c r="A510" t="s">
        <v>10</v>
      </c>
      <c r="B510" t="str">
        <f>CHOOSE(MATCH(A510,{"Jan","Feb","Mar","Apr","May","Jun","Jul","Aug","Sep","Oct","Nov","Dec"},0), "Q1","Q1","Q1", "Q2","Q2","Q2", "Q3","Q3","Q3", "Q4","Q4","Q4")</f>
        <v>Q2</v>
      </c>
      <c r="C510" t="s">
        <v>23</v>
      </c>
      <c r="D510" t="s">
        <v>25</v>
      </c>
      <c r="E510" t="s">
        <v>53</v>
      </c>
      <c r="F510" s="4">
        <v>60000</v>
      </c>
      <c r="G510" s="4">
        <v>60270</v>
      </c>
      <c r="H510" s="7">
        <f t="shared" si="21"/>
        <v>270</v>
      </c>
      <c r="I510" s="9">
        <f t="shared" si="22"/>
        <v>4.4999999999999997E-3</v>
      </c>
      <c r="J510" t="str">
        <f t="shared" si="23"/>
        <v>Unfavourable</v>
      </c>
    </row>
    <row r="511" spans="1:10" x14ac:dyDescent="0.5">
      <c r="A511" t="s">
        <v>11</v>
      </c>
      <c r="B511" t="str">
        <f>CHOOSE(MATCH(A511,{"Jan","Feb","Mar","Apr","May","Jun","Jul","Aug","Sep","Oct","Nov","Dec"},0), "Q1","Q1","Q1", "Q2","Q2","Q2", "Q3","Q3","Q3", "Q4","Q4","Q4")</f>
        <v>Q2</v>
      </c>
      <c r="C511" t="s">
        <v>23</v>
      </c>
      <c r="D511" t="s">
        <v>25</v>
      </c>
      <c r="E511" t="s">
        <v>53</v>
      </c>
      <c r="F511" s="4">
        <v>61200</v>
      </c>
      <c r="G511" s="4">
        <v>61613</v>
      </c>
      <c r="H511" s="7">
        <f t="shared" si="21"/>
        <v>413</v>
      </c>
      <c r="I511" s="9">
        <f t="shared" si="22"/>
        <v>6.7483660130718956E-3</v>
      </c>
      <c r="J511" t="str">
        <f t="shared" si="23"/>
        <v>Unfavourable</v>
      </c>
    </row>
    <row r="512" spans="1:10" x14ac:dyDescent="0.5">
      <c r="A512" t="s">
        <v>12</v>
      </c>
      <c r="B512" t="str">
        <f>CHOOSE(MATCH(A512,{"Jan","Feb","Mar","Apr","May","Jun","Jul","Aug","Sep","Oct","Nov","Dec"},0), "Q1","Q1","Q1", "Q2","Q2","Q2", "Q3","Q3","Q3", "Q4","Q4","Q4")</f>
        <v>Q3</v>
      </c>
      <c r="C512" t="s">
        <v>23</v>
      </c>
      <c r="D512" t="s">
        <v>25</v>
      </c>
      <c r="E512" t="s">
        <v>53</v>
      </c>
      <c r="F512" s="4">
        <v>52800</v>
      </c>
      <c r="G512" s="4">
        <v>52881</v>
      </c>
      <c r="H512" s="7">
        <f t="shared" si="21"/>
        <v>81</v>
      </c>
      <c r="I512" s="9">
        <f t="shared" si="22"/>
        <v>1.534090909090909E-3</v>
      </c>
      <c r="J512" t="str">
        <f t="shared" si="23"/>
        <v>Unfavourable</v>
      </c>
    </row>
    <row r="513" spans="1:10" x14ac:dyDescent="0.5">
      <c r="A513" t="s">
        <v>13</v>
      </c>
      <c r="B513" t="str">
        <f>CHOOSE(MATCH(A513,{"Jan","Feb","Mar","Apr","May","Jun","Jul","Aug","Sep","Oct","Nov","Dec"},0), "Q1","Q1","Q1", "Q2","Q2","Q2", "Q3","Q3","Q3", "Q4","Q4","Q4")</f>
        <v>Q3</v>
      </c>
      <c r="C513" t="s">
        <v>23</v>
      </c>
      <c r="D513" t="s">
        <v>25</v>
      </c>
      <c r="E513" t="s">
        <v>53</v>
      </c>
      <c r="F513" s="4">
        <v>51000</v>
      </c>
      <c r="G513" s="4">
        <v>50913</v>
      </c>
      <c r="H513" s="7">
        <f t="shared" si="21"/>
        <v>-87</v>
      </c>
      <c r="I513" s="9">
        <f t="shared" si="22"/>
        <v>-1.7058823529411764E-3</v>
      </c>
      <c r="J513" t="str">
        <f t="shared" si="23"/>
        <v>Favourable</v>
      </c>
    </row>
    <row r="514" spans="1:10" x14ac:dyDescent="0.5">
      <c r="A514" t="s">
        <v>14</v>
      </c>
      <c r="B514" t="str">
        <f>CHOOSE(MATCH(A514,{"Jan","Feb","Mar","Apr","May","Jun","Jul","Aug","Sep","Oct","Nov","Dec"},0), "Q1","Q1","Q1", "Q2","Q2","Q2", "Q3","Q3","Q3", "Q4","Q4","Q4")</f>
        <v>Q3</v>
      </c>
      <c r="C514" t="s">
        <v>23</v>
      </c>
      <c r="D514" t="s">
        <v>25</v>
      </c>
      <c r="E514" t="s">
        <v>53</v>
      </c>
      <c r="F514" s="4">
        <v>60000</v>
      </c>
      <c r="G514" s="4">
        <v>59877</v>
      </c>
      <c r="H514" s="7">
        <f t="shared" si="21"/>
        <v>-123</v>
      </c>
      <c r="I514" s="9">
        <f t="shared" si="22"/>
        <v>-2.0500000000000002E-3</v>
      </c>
      <c r="J514" t="str">
        <f t="shared" si="23"/>
        <v>Favourable</v>
      </c>
    </row>
    <row r="515" spans="1:10" x14ac:dyDescent="0.5">
      <c r="A515" t="s">
        <v>15</v>
      </c>
      <c r="B515" t="str">
        <f>CHOOSE(MATCH(A515,{"Jan","Feb","Mar","Apr","May","Jun","Jul","Aug","Sep","Oct","Nov","Dec"},0), "Q1","Q1","Q1", "Q2","Q2","Q2", "Q3","Q3","Q3", "Q4","Q4","Q4")</f>
        <v>Q4</v>
      </c>
      <c r="C515" t="s">
        <v>23</v>
      </c>
      <c r="D515" t="s">
        <v>25</v>
      </c>
      <c r="E515" t="s">
        <v>53</v>
      </c>
      <c r="F515" s="4">
        <v>63000</v>
      </c>
      <c r="G515" s="4">
        <v>62690</v>
      </c>
      <c r="H515" s="7">
        <f t="shared" ref="H515:H578" si="24">G515-F515</f>
        <v>-310</v>
      </c>
      <c r="I515" s="9">
        <f t="shared" ref="I515:I578" si="25">SUM(G515-F515)/F515</f>
        <v>-4.9206349206349208E-3</v>
      </c>
      <c r="J515" t="str">
        <f t="shared" ref="J515:J578" si="26">IF(C515="Revenue",IF(G515&gt;F515,"Favourable","Unfavourable"),IF(G515&lt;F515,"Favourable","Unfavourable"))</f>
        <v>Favourable</v>
      </c>
    </row>
    <row r="516" spans="1:10" x14ac:dyDescent="0.5">
      <c r="A516" t="s">
        <v>16</v>
      </c>
      <c r="B516" t="str">
        <f>CHOOSE(MATCH(A516,{"Jan","Feb","Mar","Apr","May","Jun","Jul","Aug","Sep","Oct","Nov","Dec"},0), "Q1","Q1","Q1", "Q2","Q2","Q2", "Q3","Q3","Q3", "Q4","Q4","Q4")</f>
        <v>Q4</v>
      </c>
      <c r="C516" t="s">
        <v>23</v>
      </c>
      <c r="D516" t="s">
        <v>25</v>
      </c>
      <c r="E516" t="s">
        <v>53</v>
      </c>
      <c r="F516" s="4">
        <v>64800</v>
      </c>
      <c r="G516" s="4">
        <v>64246</v>
      </c>
      <c r="H516" s="7">
        <f t="shared" si="24"/>
        <v>-554</v>
      </c>
      <c r="I516" s="9">
        <f t="shared" si="25"/>
        <v>-8.5493827160493824E-3</v>
      </c>
      <c r="J516" t="str">
        <f t="shared" si="26"/>
        <v>Favourable</v>
      </c>
    </row>
    <row r="517" spans="1:10" x14ac:dyDescent="0.5">
      <c r="A517" t="s">
        <v>17</v>
      </c>
      <c r="B517" t="str">
        <f>CHOOSE(MATCH(A517,{"Jan","Feb","Mar","Apr","May","Jun","Jul","Aug","Sep","Oct","Nov","Dec"},0), "Q1","Q1","Q1", "Q2","Q2","Q2", "Q3","Q3","Q3", "Q4","Q4","Q4")</f>
        <v>Q4</v>
      </c>
      <c r="C517" t="s">
        <v>23</v>
      </c>
      <c r="D517" t="s">
        <v>25</v>
      </c>
      <c r="E517" t="s">
        <v>53</v>
      </c>
      <c r="F517" s="4">
        <v>94800</v>
      </c>
      <c r="G517" s="4">
        <v>93912</v>
      </c>
      <c r="H517" s="7">
        <f t="shared" si="24"/>
        <v>-888</v>
      </c>
      <c r="I517" s="9">
        <f t="shared" si="25"/>
        <v>-9.367088607594937E-3</v>
      </c>
      <c r="J517" t="str">
        <f t="shared" si="26"/>
        <v>Favourable</v>
      </c>
    </row>
    <row r="518" spans="1:10" x14ac:dyDescent="0.5">
      <c r="A518" t="s">
        <v>4</v>
      </c>
      <c r="B518" t="str">
        <f>CHOOSE(MATCH(A518,{"Jan","Feb","Mar","Apr","May","Jun","Jul","Aug","Sep","Oct","Nov","Dec"},0), "Q1","Q1","Q1", "Q2","Q2","Q2", "Q3","Q3","Q3", "Q4","Q4","Q4")</f>
        <v>Q1</v>
      </c>
      <c r="C518" t="s">
        <v>23</v>
      </c>
      <c r="D518" t="s">
        <v>54</v>
      </c>
      <c r="E518" t="s">
        <v>53</v>
      </c>
      <c r="F518" s="4">
        <v>3400</v>
      </c>
      <c r="G518" s="4">
        <v>3220</v>
      </c>
      <c r="H518" s="7">
        <f t="shared" si="24"/>
        <v>-180</v>
      </c>
      <c r="I518" s="9">
        <f t="shared" si="25"/>
        <v>-5.2941176470588235E-2</v>
      </c>
      <c r="J518" t="str">
        <f t="shared" si="26"/>
        <v>Favourable</v>
      </c>
    </row>
    <row r="519" spans="1:10" x14ac:dyDescent="0.5">
      <c r="A519" t="s">
        <v>7</v>
      </c>
      <c r="B519" t="str">
        <f>CHOOSE(MATCH(A519,{"Jan","Feb","Mar","Apr","May","Jun","Jul","Aug","Sep","Oct","Nov","Dec"},0), "Q1","Q1","Q1", "Q2","Q2","Q2", "Q3","Q3","Q3", "Q4","Q4","Q4")</f>
        <v>Q1</v>
      </c>
      <c r="C519" t="s">
        <v>23</v>
      </c>
      <c r="D519" t="s">
        <v>54</v>
      </c>
      <c r="E519" t="s">
        <v>53</v>
      </c>
      <c r="F519" s="4">
        <v>3280</v>
      </c>
      <c r="G519" s="4">
        <v>3314</v>
      </c>
      <c r="H519" s="7">
        <f t="shared" si="24"/>
        <v>34</v>
      </c>
      <c r="I519" s="9">
        <f t="shared" si="25"/>
        <v>1.0365853658536586E-2</v>
      </c>
      <c r="J519" t="str">
        <f t="shared" si="26"/>
        <v>Unfavourable</v>
      </c>
    </row>
    <row r="520" spans="1:10" x14ac:dyDescent="0.5">
      <c r="A520" t="s">
        <v>8</v>
      </c>
      <c r="B520" t="str">
        <f>CHOOSE(MATCH(A520,{"Jan","Feb","Mar","Apr","May","Jun","Jul","Aug","Sep","Oct","Nov","Dec"},0), "Q1","Q1","Q1", "Q2","Q2","Q2", "Q3","Q3","Q3", "Q4","Q4","Q4")</f>
        <v>Q1</v>
      </c>
      <c r="C520" t="s">
        <v>23</v>
      </c>
      <c r="D520" t="s">
        <v>54</v>
      </c>
      <c r="E520" t="s">
        <v>53</v>
      </c>
      <c r="F520" s="4">
        <v>3680</v>
      </c>
      <c r="G520" s="4">
        <v>3704</v>
      </c>
      <c r="H520" s="7">
        <f t="shared" si="24"/>
        <v>24</v>
      </c>
      <c r="I520" s="9">
        <f t="shared" si="25"/>
        <v>6.5217391304347823E-3</v>
      </c>
      <c r="J520" t="str">
        <f t="shared" si="26"/>
        <v>Unfavourable</v>
      </c>
    </row>
    <row r="521" spans="1:10" x14ac:dyDescent="0.5">
      <c r="A521" t="s">
        <v>9</v>
      </c>
      <c r="B521" t="str">
        <f>CHOOSE(MATCH(A521,{"Jan","Feb","Mar","Apr","May","Jun","Jul","Aug","Sep","Oct","Nov","Dec"},0), "Q1","Q1","Q1", "Q2","Q2","Q2", "Q3","Q3","Q3", "Q4","Q4","Q4")</f>
        <v>Q2</v>
      </c>
      <c r="C521" t="s">
        <v>23</v>
      </c>
      <c r="D521" t="s">
        <v>54</v>
      </c>
      <c r="E521" t="s">
        <v>53</v>
      </c>
      <c r="F521" s="4">
        <v>3800</v>
      </c>
      <c r="G521" s="4">
        <v>3857</v>
      </c>
      <c r="H521" s="7">
        <f t="shared" si="24"/>
        <v>57</v>
      </c>
      <c r="I521" s="9">
        <f t="shared" si="25"/>
        <v>1.4999999999999999E-2</v>
      </c>
      <c r="J521" t="str">
        <f t="shared" si="26"/>
        <v>Unfavourable</v>
      </c>
    </row>
    <row r="522" spans="1:10" x14ac:dyDescent="0.5">
      <c r="A522" t="s">
        <v>10</v>
      </c>
      <c r="B522" t="str">
        <f>CHOOSE(MATCH(A522,{"Jan","Feb","Mar","Apr","May","Jun","Jul","Aug","Sep","Oct","Nov","Dec"},0), "Q1","Q1","Q1", "Q2","Q2","Q2", "Q3","Q3","Q3", "Q4","Q4","Q4")</f>
        <v>Q2</v>
      </c>
      <c r="C522" t="s">
        <v>23</v>
      </c>
      <c r="D522" t="s">
        <v>54</v>
      </c>
      <c r="E522" t="s">
        <v>53</v>
      </c>
      <c r="F522" s="4">
        <v>4000</v>
      </c>
      <c r="G522" s="4">
        <v>4213</v>
      </c>
      <c r="H522" s="7">
        <f t="shared" si="24"/>
        <v>213</v>
      </c>
      <c r="I522" s="9">
        <f t="shared" si="25"/>
        <v>5.3249999999999999E-2</v>
      </c>
      <c r="J522" t="str">
        <f t="shared" si="26"/>
        <v>Unfavourable</v>
      </c>
    </row>
    <row r="523" spans="1:10" x14ac:dyDescent="0.5">
      <c r="A523" t="s">
        <v>11</v>
      </c>
      <c r="B523" t="str">
        <f>CHOOSE(MATCH(A523,{"Jan","Feb","Mar","Apr","May","Jun","Jul","Aug","Sep","Oct","Nov","Dec"},0), "Q1","Q1","Q1", "Q2","Q2","Q2", "Q3","Q3","Q3", "Q4","Q4","Q4")</f>
        <v>Q2</v>
      </c>
      <c r="C523" t="s">
        <v>23</v>
      </c>
      <c r="D523" t="s">
        <v>54</v>
      </c>
      <c r="E523" t="s">
        <v>53</v>
      </c>
      <c r="F523" s="4">
        <v>4080</v>
      </c>
      <c r="G523" s="4">
        <v>3996</v>
      </c>
      <c r="H523" s="7">
        <f t="shared" si="24"/>
        <v>-84</v>
      </c>
      <c r="I523" s="9">
        <f t="shared" si="25"/>
        <v>-2.0588235294117647E-2</v>
      </c>
      <c r="J523" t="str">
        <f t="shared" si="26"/>
        <v>Favourable</v>
      </c>
    </row>
    <row r="524" spans="1:10" x14ac:dyDescent="0.5">
      <c r="A524" t="s">
        <v>12</v>
      </c>
      <c r="B524" t="str">
        <f>CHOOSE(MATCH(A524,{"Jan","Feb","Mar","Apr","May","Jun","Jul","Aug","Sep","Oct","Nov","Dec"},0), "Q1","Q1","Q1", "Q2","Q2","Q2", "Q3","Q3","Q3", "Q4","Q4","Q4")</f>
        <v>Q3</v>
      </c>
      <c r="C524" t="s">
        <v>23</v>
      </c>
      <c r="D524" t="s">
        <v>54</v>
      </c>
      <c r="E524" t="s">
        <v>53</v>
      </c>
      <c r="F524" s="4">
        <v>3520</v>
      </c>
      <c r="G524" s="4">
        <v>3598</v>
      </c>
      <c r="H524" s="7">
        <f t="shared" si="24"/>
        <v>78</v>
      </c>
      <c r="I524" s="9">
        <f t="shared" si="25"/>
        <v>2.215909090909091E-2</v>
      </c>
      <c r="J524" t="str">
        <f t="shared" si="26"/>
        <v>Unfavourable</v>
      </c>
    </row>
    <row r="525" spans="1:10" x14ac:dyDescent="0.5">
      <c r="A525" t="s">
        <v>13</v>
      </c>
      <c r="B525" t="str">
        <f>CHOOSE(MATCH(A525,{"Jan","Feb","Mar","Apr","May","Jun","Jul","Aug","Sep","Oct","Nov","Dec"},0), "Q1","Q1","Q1", "Q2","Q2","Q2", "Q3","Q3","Q3", "Q4","Q4","Q4")</f>
        <v>Q3</v>
      </c>
      <c r="C525" t="s">
        <v>23</v>
      </c>
      <c r="D525" t="s">
        <v>54</v>
      </c>
      <c r="E525" t="s">
        <v>53</v>
      </c>
      <c r="F525" s="4">
        <v>3400</v>
      </c>
      <c r="G525" s="4">
        <v>3245</v>
      </c>
      <c r="H525" s="7">
        <f t="shared" si="24"/>
        <v>-155</v>
      </c>
      <c r="I525" s="9">
        <f t="shared" si="25"/>
        <v>-4.5588235294117645E-2</v>
      </c>
      <c r="J525" t="str">
        <f t="shared" si="26"/>
        <v>Favourable</v>
      </c>
    </row>
    <row r="526" spans="1:10" x14ac:dyDescent="0.5">
      <c r="A526" t="s">
        <v>14</v>
      </c>
      <c r="B526" t="str">
        <f>CHOOSE(MATCH(A526,{"Jan","Feb","Mar","Apr","May","Jun","Jul","Aug","Sep","Oct","Nov","Dec"},0), "Q1","Q1","Q1", "Q2","Q2","Q2", "Q3","Q3","Q3", "Q4","Q4","Q4")</f>
        <v>Q3</v>
      </c>
      <c r="C526" t="s">
        <v>23</v>
      </c>
      <c r="D526" t="s">
        <v>54</v>
      </c>
      <c r="E526" t="s">
        <v>53</v>
      </c>
      <c r="F526" s="4">
        <v>4000</v>
      </c>
      <c r="G526" s="4">
        <v>4252</v>
      </c>
      <c r="H526" s="7">
        <f t="shared" si="24"/>
        <v>252</v>
      </c>
      <c r="I526" s="9">
        <f t="shared" si="25"/>
        <v>6.3E-2</v>
      </c>
      <c r="J526" t="str">
        <f t="shared" si="26"/>
        <v>Unfavourable</v>
      </c>
    </row>
    <row r="527" spans="1:10" x14ac:dyDescent="0.5">
      <c r="A527" t="s">
        <v>15</v>
      </c>
      <c r="B527" t="str">
        <f>CHOOSE(MATCH(A527,{"Jan","Feb","Mar","Apr","May","Jun","Jul","Aug","Sep","Oct","Nov","Dec"},0), "Q1","Q1","Q1", "Q2","Q2","Q2", "Q3","Q3","Q3", "Q4","Q4","Q4")</f>
        <v>Q4</v>
      </c>
      <c r="C527" t="s">
        <v>23</v>
      </c>
      <c r="D527" t="s">
        <v>54</v>
      </c>
      <c r="E527" t="s">
        <v>53</v>
      </c>
      <c r="F527" s="4">
        <v>4200</v>
      </c>
      <c r="G527" s="4">
        <v>4333</v>
      </c>
      <c r="H527" s="7">
        <f t="shared" si="24"/>
        <v>133</v>
      </c>
      <c r="I527" s="9">
        <f t="shared" si="25"/>
        <v>3.1666666666666669E-2</v>
      </c>
      <c r="J527" t="str">
        <f t="shared" si="26"/>
        <v>Unfavourable</v>
      </c>
    </row>
    <row r="528" spans="1:10" x14ac:dyDescent="0.5">
      <c r="A528" t="s">
        <v>16</v>
      </c>
      <c r="B528" t="str">
        <f>CHOOSE(MATCH(A528,{"Jan","Feb","Mar","Apr","May","Jun","Jul","Aug","Sep","Oct","Nov","Dec"},0), "Q1","Q1","Q1", "Q2","Q2","Q2", "Q3","Q3","Q3", "Q4","Q4","Q4")</f>
        <v>Q4</v>
      </c>
      <c r="C528" t="s">
        <v>23</v>
      </c>
      <c r="D528" t="s">
        <v>54</v>
      </c>
      <c r="E528" t="s">
        <v>53</v>
      </c>
      <c r="F528" s="4">
        <v>4320</v>
      </c>
      <c r="G528" s="4">
        <v>4436</v>
      </c>
      <c r="H528" s="7">
        <f t="shared" si="24"/>
        <v>116</v>
      </c>
      <c r="I528" s="9">
        <f t="shared" si="25"/>
        <v>2.6851851851851852E-2</v>
      </c>
      <c r="J528" t="str">
        <f t="shared" si="26"/>
        <v>Unfavourable</v>
      </c>
    </row>
    <row r="529" spans="1:10" x14ac:dyDescent="0.5">
      <c r="A529" t="s">
        <v>17</v>
      </c>
      <c r="B529" t="str">
        <f>CHOOSE(MATCH(A529,{"Jan","Feb","Mar","Apr","May","Jun","Jul","Aug","Sep","Oct","Nov","Dec"},0), "Q1","Q1","Q1", "Q2","Q2","Q2", "Q3","Q3","Q3", "Q4","Q4","Q4")</f>
        <v>Q4</v>
      </c>
      <c r="C529" t="s">
        <v>23</v>
      </c>
      <c r="D529" t="s">
        <v>54</v>
      </c>
      <c r="E529" t="s">
        <v>53</v>
      </c>
      <c r="F529" s="4">
        <v>6320</v>
      </c>
      <c r="G529" s="4">
        <v>6379</v>
      </c>
      <c r="H529" s="7">
        <f t="shared" si="24"/>
        <v>59</v>
      </c>
      <c r="I529" s="9">
        <f t="shared" si="25"/>
        <v>9.335443037974683E-3</v>
      </c>
      <c r="J529" t="str">
        <f t="shared" si="26"/>
        <v>Unfavourable</v>
      </c>
    </row>
    <row r="530" spans="1:10" x14ac:dyDescent="0.5">
      <c r="A530" t="s">
        <v>4</v>
      </c>
      <c r="B530" t="str">
        <f>CHOOSE(MATCH(A530,{"Jan","Feb","Mar","Apr","May","Jun","Jul","Aug","Sep","Oct","Nov","Dec"},0), "Q1","Q1","Q1", "Q2","Q2","Q2", "Q3","Q3","Q3", "Q4","Q4","Q4")</f>
        <v>Q1</v>
      </c>
      <c r="C530" t="s">
        <v>23</v>
      </c>
      <c r="D530" t="s">
        <v>30</v>
      </c>
      <c r="E530" t="s">
        <v>53</v>
      </c>
      <c r="F530" s="4">
        <v>2125</v>
      </c>
      <c r="G530" s="4">
        <v>2042</v>
      </c>
      <c r="H530" s="7">
        <f t="shared" si="24"/>
        <v>-83</v>
      </c>
      <c r="I530" s="9">
        <f t="shared" si="25"/>
        <v>-3.9058823529411764E-2</v>
      </c>
      <c r="J530" t="str">
        <f t="shared" si="26"/>
        <v>Favourable</v>
      </c>
    </row>
    <row r="531" spans="1:10" x14ac:dyDescent="0.5">
      <c r="A531" t="s">
        <v>7</v>
      </c>
      <c r="B531" t="str">
        <f>CHOOSE(MATCH(A531,{"Jan","Feb","Mar","Apr","May","Jun","Jul","Aug","Sep","Oct","Nov","Dec"},0), "Q1","Q1","Q1", "Q2","Q2","Q2", "Q3","Q3","Q3", "Q4","Q4","Q4")</f>
        <v>Q1</v>
      </c>
      <c r="C531" t="s">
        <v>23</v>
      </c>
      <c r="D531" t="s">
        <v>30</v>
      </c>
      <c r="E531" t="s">
        <v>53</v>
      </c>
      <c r="F531" s="4">
        <v>2050</v>
      </c>
      <c r="G531" s="4">
        <v>2016</v>
      </c>
      <c r="H531" s="7">
        <f t="shared" si="24"/>
        <v>-34</v>
      </c>
      <c r="I531" s="9">
        <f t="shared" si="25"/>
        <v>-1.6585365853658537E-2</v>
      </c>
      <c r="J531" t="str">
        <f t="shared" si="26"/>
        <v>Favourable</v>
      </c>
    </row>
    <row r="532" spans="1:10" x14ac:dyDescent="0.5">
      <c r="A532" t="s">
        <v>8</v>
      </c>
      <c r="B532" t="str">
        <f>CHOOSE(MATCH(A532,{"Jan","Feb","Mar","Apr","May","Jun","Jul","Aug","Sep","Oct","Nov","Dec"},0), "Q1","Q1","Q1", "Q2","Q2","Q2", "Q3","Q3","Q3", "Q4","Q4","Q4")</f>
        <v>Q1</v>
      </c>
      <c r="C532" t="s">
        <v>23</v>
      </c>
      <c r="D532" t="s">
        <v>30</v>
      </c>
      <c r="E532" t="s">
        <v>53</v>
      </c>
      <c r="F532" s="4">
        <v>2300</v>
      </c>
      <c r="G532" s="4">
        <v>2358</v>
      </c>
      <c r="H532" s="7">
        <f t="shared" si="24"/>
        <v>58</v>
      </c>
      <c r="I532" s="9">
        <f t="shared" si="25"/>
        <v>2.5217391304347827E-2</v>
      </c>
      <c r="J532" t="str">
        <f t="shared" si="26"/>
        <v>Unfavourable</v>
      </c>
    </row>
    <row r="533" spans="1:10" x14ac:dyDescent="0.5">
      <c r="A533" t="s">
        <v>9</v>
      </c>
      <c r="B533" t="str">
        <f>CHOOSE(MATCH(A533,{"Jan","Feb","Mar","Apr","May","Jun","Jul","Aug","Sep","Oct","Nov","Dec"},0), "Q1","Q1","Q1", "Q2","Q2","Q2", "Q3","Q3","Q3", "Q4","Q4","Q4")</f>
        <v>Q2</v>
      </c>
      <c r="C533" t="s">
        <v>23</v>
      </c>
      <c r="D533" t="s">
        <v>30</v>
      </c>
      <c r="E533" t="s">
        <v>53</v>
      </c>
      <c r="F533" s="4">
        <v>2375</v>
      </c>
      <c r="G533" s="4">
        <v>2373</v>
      </c>
      <c r="H533" s="7">
        <f t="shared" si="24"/>
        <v>-2</v>
      </c>
      <c r="I533" s="9">
        <f t="shared" si="25"/>
        <v>-8.4210526315789478E-4</v>
      </c>
      <c r="J533" t="str">
        <f t="shared" si="26"/>
        <v>Favourable</v>
      </c>
    </row>
    <row r="534" spans="1:10" x14ac:dyDescent="0.5">
      <c r="A534" t="s">
        <v>10</v>
      </c>
      <c r="B534" t="str">
        <f>CHOOSE(MATCH(A534,{"Jan","Feb","Mar","Apr","May","Jun","Jul","Aug","Sep","Oct","Nov","Dec"},0), "Q1","Q1","Q1", "Q2","Q2","Q2", "Q3","Q3","Q3", "Q4","Q4","Q4")</f>
        <v>Q2</v>
      </c>
      <c r="C534" t="s">
        <v>23</v>
      </c>
      <c r="D534" t="s">
        <v>30</v>
      </c>
      <c r="E534" t="s">
        <v>53</v>
      </c>
      <c r="F534" s="4">
        <v>2500</v>
      </c>
      <c r="G534" s="4">
        <v>2515</v>
      </c>
      <c r="H534" s="7">
        <f t="shared" si="24"/>
        <v>15</v>
      </c>
      <c r="I534" s="9">
        <f t="shared" si="25"/>
        <v>6.0000000000000001E-3</v>
      </c>
      <c r="J534" t="str">
        <f t="shared" si="26"/>
        <v>Unfavourable</v>
      </c>
    </row>
    <row r="535" spans="1:10" x14ac:dyDescent="0.5">
      <c r="A535" t="s">
        <v>11</v>
      </c>
      <c r="B535" t="str">
        <f>CHOOSE(MATCH(A535,{"Jan","Feb","Mar","Apr","May","Jun","Jul","Aug","Sep","Oct","Nov","Dec"},0), "Q1","Q1","Q1", "Q2","Q2","Q2", "Q3","Q3","Q3", "Q4","Q4","Q4")</f>
        <v>Q2</v>
      </c>
      <c r="C535" t="s">
        <v>23</v>
      </c>
      <c r="D535" t="s">
        <v>30</v>
      </c>
      <c r="E535" t="s">
        <v>53</v>
      </c>
      <c r="F535" s="4">
        <v>2550</v>
      </c>
      <c r="G535" s="4">
        <v>2377</v>
      </c>
      <c r="H535" s="7">
        <f t="shared" si="24"/>
        <v>-173</v>
      </c>
      <c r="I535" s="9">
        <f t="shared" si="25"/>
        <v>-6.7843137254901958E-2</v>
      </c>
      <c r="J535" t="str">
        <f t="shared" si="26"/>
        <v>Favourable</v>
      </c>
    </row>
    <row r="536" spans="1:10" x14ac:dyDescent="0.5">
      <c r="A536" t="s">
        <v>12</v>
      </c>
      <c r="B536" t="str">
        <f>CHOOSE(MATCH(A536,{"Jan","Feb","Mar","Apr","May","Jun","Jul","Aug","Sep","Oct","Nov","Dec"},0), "Q1","Q1","Q1", "Q2","Q2","Q2", "Q3","Q3","Q3", "Q4","Q4","Q4")</f>
        <v>Q3</v>
      </c>
      <c r="C536" t="s">
        <v>23</v>
      </c>
      <c r="D536" t="s">
        <v>30</v>
      </c>
      <c r="E536" t="s">
        <v>53</v>
      </c>
      <c r="F536" s="4">
        <v>2200</v>
      </c>
      <c r="G536" s="4">
        <v>2220</v>
      </c>
      <c r="H536" s="7">
        <f t="shared" si="24"/>
        <v>20</v>
      </c>
      <c r="I536" s="9">
        <f t="shared" si="25"/>
        <v>9.0909090909090905E-3</v>
      </c>
      <c r="J536" t="str">
        <f t="shared" si="26"/>
        <v>Unfavourable</v>
      </c>
    </row>
    <row r="537" spans="1:10" x14ac:dyDescent="0.5">
      <c r="A537" t="s">
        <v>13</v>
      </c>
      <c r="B537" t="str">
        <f>CHOOSE(MATCH(A537,{"Jan","Feb","Mar","Apr","May","Jun","Jul","Aug","Sep","Oct","Nov","Dec"},0), "Q1","Q1","Q1", "Q2","Q2","Q2", "Q3","Q3","Q3", "Q4","Q4","Q4")</f>
        <v>Q3</v>
      </c>
      <c r="C537" t="s">
        <v>23</v>
      </c>
      <c r="D537" t="s">
        <v>30</v>
      </c>
      <c r="E537" t="s">
        <v>53</v>
      </c>
      <c r="F537" s="4">
        <v>2125</v>
      </c>
      <c r="G537" s="4">
        <v>2051</v>
      </c>
      <c r="H537" s="7">
        <f t="shared" si="24"/>
        <v>-74</v>
      </c>
      <c r="I537" s="9">
        <f t="shared" si="25"/>
        <v>-3.4823529411764705E-2</v>
      </c>
      <c r="J537" t="str">
        <f t="shared" si="26"/>
        <v>Favourable</v>
      </c>
    </row>
    <row r="538" spans="1:10" x14ac:dyDescent="0.5">
      <c r="A538" t="s">
        <v>14</v>
      </c>
      <c r="B538" t="str">
        <f>CHOOSE(MATCH(A538,{"Jan","Feb","Mar","Apr","May","Jun","Jul","Aug","Sep","Oct","Nov","Dec"},0), "Q1","Q1","Q1", "Q2","Q2","Q2", "Q3","Q3","Q3", "Q4","Q4","Q4")</f>
        <v>Q3</v>
      </c>
      <c r="C538" t="s">
        <v>23</v>
      </c>
      <c r="D538" t="s">
        <v>30</v>
      </c>
      <c r="E538" t="s">
        <v>53</v>
      </c>
      <c r="F538" s="4">
        <v>2500</v>
      </c>
      <c r="G538" s="4">
        <v>2365</v>
      </c>
      <c r="H538" s="7">
        <f t="shared" si="24"/>
        <v>-135</v>
      </c>
      <c r="I538" s="9">
        <f t="shared" si="25"/>
        <v>-5.3999999999999999E-2</v>
      </c>
      <c r="J538" t="str">
        <f t="shared" si="26"/>
        <v>Favourable</v>
      </c>
    </row>
    <row r="539" spans="1:10" x14ac:dyDescent="0.5">
      <c r="A539" t="s">
        <v>15</v>
      </c>
      <c r="B539" t="str">
        <f>CHOOSE(MATCH(A539,{"Jan","Feb","Mar","Apr","May","Jun","Jul","Aug","Sep","Oct","Nov","Dec"},0), "Q1","Q1","Q1", "Q2","Q2","Q2", "Q3","Q3","Q3", "Q4","Q4","Q4")</f>
        <v>Q4</v>
      </c>
      <c r="C539" t="s">
        <v>23</v>
      </c>
      <c r="D539" t="s">
        <v>30</v>
      </c>
      <c r="E539" t="s">
        <v>53</v>
      </c>
      <c r="F539" s="4">
        <v>2625</v>
      </c>
      <c r="G539" s="4">
        <v>2605</v>
      </c>
      <c r="H539" s="7">
        <f t="shared" si="24"/>
        <v>-20</v>
      </c>
      <c r="I539" s="9">
        <f t="shared" si="25"/>
        <v>-7.619047619047619E-3</v>
      </c>
      <c r="J539" t="str">
        <f t="shared" si="26"/>
        <v>Favourable</v>
      </c>
    </row>
    <row r="540" spans="1:10" x14ac:dyDescent="0.5">
      <c r="A540" t="s">
        <v>16</v>
      </c>
      <c r="B540" t="str">
        <f>CHOOSE(MATCH(A540,{"Jan","Feb","Mar","Apr","May","Jun","Jul","Aug","Sep","Oct","Nov","Dec"},0), "Q1","Q1","Q1", "Q2","Q2","Q2", "Q3","Q3","Q3", "Q4","Q4","Q4")</f>
        <v>Q4</v>
      </c>
      <c r="C540" t="s">
        <v>23</v>
      </c>
      <c r="D540" t="s">
        <v>30</v>
      </c>
      <c r="E540" t="s">
        <v>53</v>
      </c>
      <c r="F540" s="4">
        <v>2700</v>
      </c>
      <c r="G540" s="4">
        <v>2449</v>
      </c>
      <c r="H540" s="7">
        <f t="shared" si="24"/>
        <v>-251</v>
      </c>
      <c r="I540" s="9">
        <f t="shared" si="25"/>
        <v>-9.2962962962962969E-2</v>
      </c>
      <c r="J540" t="str">
        <f t="shared" si="26"/>
        <v>Favourable</v>
      </c>
    </row>
    <row r="541" spans="1:10" x14ac:dyDescent="0.5">
      <c r="A541" t="s">
        <v>17</v>
      </c>
      <c r="B541" t="str">
        <f>CHOOSE(MATCH(A541,{"Jan","Feb","Mar","Apr","May","Jun","Jul","Aug","Sep","Oct","Nov","Dec"},0), "Q1","Q1","Q1", "Q2","Q2","Q2", "Q3","Q3","Q3", "Q4","Q4","Q4")</f>
        <v>Q4</v>
      </c>
      <c r="C541" t="s">
        <v>23</v>
      </c>
      <c r="D541" t="s">
        <v>30</v>
      </c>
      <c r="E541" t="s">
        <v>53</v>
      </c>
      <c r="F541" s="4">
        <v>3950</v>
      </c>
      <c r="G541" s="4">
        <v>4088</v>
      </c>
      <c r="H541" s="7">
        <f t="shared" si="24"/>
        <v>138</v>
      </c>
      <c r="I541" s="9">
        <f t="shared" si="25"/>
        <v>3.4936708860759495E-2</v>
      </c>
      <c r="J541" t="str">
        <f t="shared" si="26"/>
        <v>Unfavourable</v>
      </c>
    </row>
    <row r="542" spans="1:10" x14ac:dyDescent="0.5">
      <c r="A542" t="s">
        <v>4</v>
      </c>
      <c r="B542" t="str">
        <f>CHOOSE(MATCH(A542,{"Jan","Feb","Mar","Apr","May","Jun","Jul","Aug","Sep","Oct","Nov","Dec"},0), "Q1","Q1","Q1", "Q2","Q2","Q2", "Q3","Q3","Q3", "Q4","Q4","Q4")</f>
        <v>Q1</v>
      </c>
      <c r="C542" t="s">
        <v>23</v>
      </c>
      <c r="D542" t="s">
        <v>28</v>
      </c>
      <c r="E542" t="s">
        <v>53</v>
      </c>
      <c r="F542" s="4">
        <v>2833</v>
      </c>
      <c r="G542" s="4">
        <v>2954</v>
      </c>
      <c r="H542" s="7">
        <f t="shared" si="24"/>
        <v>121</v>
      </c>
      <c r="I542" s="9">
        <f t="shared" si="25"/>
        <v>4.2710907165548886E-2</v>
      </c>
      <c r="J542" t="str">
        <f t="shared" si="26"/>
        <v>Unfavourable</v>
      </c>
    </row>
    <row r="543" spans="1:10" x14ac:dyDescent="0.5">
      <c r="A543" t="s">
        <v>7</v>
      </c>
      <c r="B543" t="str">
        <f>CHOOSE(MATCH(A543,{"Jan","Feb","Mar","Apr","May","Jun","Jul","Aug","Sep","Oct","Nov","Dec"},0), "Q1","Q1","Q1", "Q2","Q2","Q2", "Q3","Q3","Q3", "Q4","Q4","Q4")</f>
        <v>Q1</v>
      </c>
      <c r="C543" t="s">
        <v>23</v>
      </c>
      <c r="D543" t="s">
        <v>28</v>
      </c>
      <c r="E543" t="s">
        <v>53</v>
      </c>
      <c r="F543" s="4">
        <v>2733</v>
      </c>
      <c r="G543" s="4">
        <v>2726</v>
      </c>
      <c r="H543" s="7">
        <f t="shared" si="24"/>
        <v>-7</v>
      </c>
      <c r="I543" s="9">
        <f t="shared" si="25"/>
        <v>-2.561287961946579E-3</v>
      </c>
      <c r="J543" t="str">
        <f t="shared" si="26"/>
        <v>Favourable</v>
      </c>
    </row>
    <row r="544" spans="1:10" x14ac:dyDescent="0.5">
      <c r="A544" t="s">
        <v>8</v>
      </c>
      <c r="B544" t="str">
        <f>CHOOSE(MATCH(A544,{"Jan","Feb","Mar","Apr","May","Jun","Jul","Aug","Sep","Oct","Nov","Dec"},0), "Q1","Q1","Q1", "Q2","Q2","Q2", "Q3","Q3","Q3", "Q4","Q4","Q4")</f>
        <v>Q1</v>
      </c>
      <c r="C544" t="s">
        <v>23</v>
      </c>
      <c r="D544" t="s">
        <v>28</v>
      </c>
      <c r="E544" t="s">
        <v>53</v>
      </c>
      <c r="F544" s="4">
        <v>3067</v>
      </c>
      <c r="G544" s="4">
        <v>2915</v>
      </c>
      <c r="H544" s="7">
        <f t="shared" si="24"/>
        <v>-152</v>
      </c>
      <c r="I544" s="9">
        <f t="shared" si="25"/>
        <v>-4.9559830453211606E-2</v>
      </c>
      <c r="J544" t="str">
        <f t="shared" si="26"/>
        <v>Favourable</v>
      </c>
    </row>
    <row r="545" spans="1:10" x14ac:dyDescent="0.5">
      <c r="A545" t="s">
        <v>9</v>
      </c>
      <c r="B545" t="str">
        <f>CHOOSE(MATCH(A545,{"Jan","Feb","Mar","Apr","May","Jun","Jul","Aug","Sep","Oct","Nov","Dec"},0), "Q1","Q1","Q1", "Q2","Q2","Q2", "Q3","Q3","Q3", "Q4","Q4","Q4")</f>
        <v>Q2</v>
      </c>
      <c r="C545" t="s">
        <v>23</v>
      </c>
      <c r="D545" t="s">
        <v>28</v>
      </c>
      <c r="E545" t="s">
        <v>53</v>
      </c>
      <c r="F545" s="4">
        <v>3167</v>
      </c>
      <c r="G545" s="4">
        <v>3017</v>
      </c>
      <c r="H545" s="7">
        <f t="shared" si="24"/>
        <v>-150</v>
      </c>
      <c r="I545" s="9">
        <f t="shared" si="25"/>
        <v>-4.7363435427849702E-2</v>
      </c>
      <c r="J545" t="str">
        <f t="shared" si="26"/>
        <v>Favourable</v>
      </c>
    </row>
    <row r="546" spans="1:10" x14ac:dyDescent="0.5">
      <c r="A546" t="s">
        <v>10</v>
      </c>
      <c r="B546" t="str">
        <f>CHOOSE(MATCH(A546,{"Jan","Feb","Mar","Apr","May","Jun","Jul","Aug","Sep","Oct","Nov","Dec"},0), "Q1","Q1","Q1", "Q2","Q2","Q2", "Q3","Q3","Q3", "Q4","Q4","Q4")</f>
        <v>Q2</v>
      </c>
      <c r="C546" t="s">
        <v>23</v>
      </c>
      <c r="D546" t="s">
        <v>28</v>
      </c>
      <c r="E546" t="s">
        <v>53</v>
      </c>
      <c r="F546" s="4">
        <v>3333</v>
      </c>
      <c r="G546" s="4">
        <v>3308</v>
      </c>
      <c r="H546" s="7">
        <f t="shared" si="24"/>
        <v>-25</v>
      </c>
      <c r="I546" s="9">
        <f t="shared" si="25"/>
        <v>-7.5007500750075007E-3</v>
      </c>
      <c r="J546" t="str">
        <f t="shared" si="26"/>
        <v>Favourable</v>
      </c>
    </row>
    <row r="547" spans="1:10" x14ac:dyDescent="0.5">
      <c r="A547" t="s">
        <v>11</v>
      </c>
      <c r="B547" t="str">
        <f>CHOOSE(MATCH(A547,{"Jan","Feb","Mar","Apr","May","Jun","Jul","Aug","Sep","Oct","Nov","Dec"},0), "Q1","Q1","Q1", "Q2","Q2","Q2", "Q3","Q3","Q3", "Q4","Q4","Q4")</f>
        <v>Q2</v>
      </c>
      <c r="C547" t="s">
        <v>23</v>
      </c>
      <c r="D547" t="s">
        <v>28</v>
      </c>
      <c r="E547" t="s">
        <v>53</v>
      </c>
      <c r="F547" s="4">
        <v>3400</v>
      </c>
      <c r="G547" s="4">
        <v>2988</v>
      </c>
      <c r="H547" s="7">
        <f t="shared" si="24"/>
        <v>-412</v>
      </c>
      <c r="I547" s="9">
        <f t="shared" si="25"/>
        <v>-0.12117647058823529</v>
      </c>
      <c r="J547" t="str">
        <f t="shared" si="26"/>
        <v>Favourable</v>
      </c>
    </row>
    <row r="548" spans="1:10" x14ac:dyDescent="0.5">
      <c r="A548" t="s">
        <v>12</v>
      </c>
      <c r="B548" t="str">
        <f>CHOOSE(MATCH(A548,{"Jan","Feb","Mar","Apr","May","Jun","Jul","Aug","Sep","Oct","Nov","Dec"},0), "Q1","Q1","Q1", "Q2","Q2","Q2", "Q3","Q3","Q3", "Q4","Q4","Q4")</f>
        <v>Q3</v>
      </c>
      <c r="C548" t="s">
        <v>23</v>
      </c>
      <c r="D548" t="s">
        <v>28</v>
      </c>
      <c r="E548" t="s">
        <v>53</v>
      </c>
      <c r="F548" s="4">
        <v>2933</v>
      </c>
      <c r="G548" s="4">
        <v>2959</v>
      </c>
      <c r="H548" s="7">
        <f t="shared" si="24"/>
        <v>26</v>
      </c>
      <c r="I548" s="9">
        <f t="shared" si="25"/>
        <v>8.8646437095124438E-3</v>
      </c>
      <c r="J548" t="str">
        <f t="shared" si="26"/>
        <v>Unfavourable</v>
      </c>
    </row>
    <row r="549" spans="1:10" x14ac:dyDescent="0.5">
      <c r="A549" t="s">
        <v>13</v>
      </c>
      <c r="B549" t="str">
        <f>CHOOSE(MATCH(A549,{"Jan","Feb","Mar","Apr","May","Jun","Jul","Aug","Sep","Oct","Nov","Dec"},0), "Q1","Q1","Q1", "Q2","Q2","Q2", "Q3","Q3","Q3", "Q4","Q4","Q4")</f>
        <v>Q3</v>
      </c>
      <c r="C549" t="s">
        <v>23</v>
      </c>
      <c r="D549" t="s">
        <v>28</v>
      </c>
      <c r="E549" t="s">
        <v>53</v>
      </c>
      <c r="F549" s="4">
        <v>2833</v>
      </c>
      <c r="G549" s="4">
        <v>2927</v>
      </c>
      <c r="H549" s="7">
        <f t="shared" si="24"/>
        <v>94</v>
      </c>
      <c r="I549" s="9">
        <f t="shared" si="25"/>
        <v>3.3180374161666075E-2</v>
      </c>
      <c r="J549" t="str">
        <f t="shared" si="26"/>
        <v>Unfavourable</v>
      </c>
    </row>
    <row r="550" spans="1:10" x14ac:dyDescent="0.5">
      <c r="A550" t="s">
        <v>14</v>
      </c>
      <c r="B550" t="str">
        <f>CHOOSE(MATCH(A550,{"Jan","Feb","Mar","Apr","May","Jun","Jul","Aug","Sep","Oct","Nov","Dec"},0), "Q1","Q1","Q1", "Q2","Q2","Q2", "Q3","Q3","Q3", "Q4","Q4","Q4")</f>
        <v>Q3</v>
      </c>
      <c r="C550" t="s">
        <v>23</v>
      </c>
      <c r="D550" t="s">
        <v>28</v>
      </c>
      <c r="E550" t="s">
        <v>53</v>
      </c>
      <c r="F550" s="4">
        <v>3333</v>
      </c>
      <c r="G550" s="4">
        <v>3281</v>
      </c>
      <c r="H550" s="7">
        <f t="shared" si="24"/>
        <v>-52</v>
      </c>
      <c r="I550" s="9">
        <f t="shared" si="25"/>
        <v>-1.5601560156015602E-2</v>
      </c>
      <c r="J550" t="str">
        <f t="shared" si="26"/>
        <v>Favourable</v>
      </c>
    </row>
    <row r="551" spans="1:10" x14ac:dyDescent="0.5">
      <c r="A551" t="s">
        <v>15</v>
      </c>
      <c r="B551" t="str">
        <f>CHOOSE(MATCH(A551,{"Jan","Feb","Mar","Apr","May","Jun","Jul","Aug","Sep","Oct","Nov","Dec"},0), "Q1","Q1","Q1", "Q2","Q2","Q2", "Q3","Q3","Q3", "Q4","Q4","Q4")</f>
        <v>Q4</v>
      </c>
      <c r="C551" t="s">
        <v>23</v>
      </c>
      <c r="D551" t="s">
        <v>28</v>
      </c>
      <c r="E551" t="s">
        <v>53</v>
      </c>
      <c r="F551" s="4">
        <v>3500</v>
      </c>
      <c r="G551" s="4">
        <v>3413</v>
      </c>
      <c r="H551" s="7">
        <f t="shared" si="24"/>
        <v>-87</v>
      </c>
      <c r="I551" s="9">
        <f t="shared" si="25"/>
        <v>-2.4857142857142855E-2</v>
      </c>
      <c r="J551" t="str">
        <f t="shared" si="26"/>
        <v>Favourable</v>
      </c>
    </row>
    <row r="552" spans="1:10" x14ac:dyDescent="0.5">
      <c r="A552" t="s">
        <v>16</v>
      </c>
      <c r="B552" t="str">
        <f>CHOOSE(MATCH(A552,{"Jan","Feb","Mar","Apr","May","Jun","Jul","Aug","Sep","Oct","Nov","Dec"},0), "Q1","Q1","Q1", "Q2","Q2","Q2", "Q3","Q3","Q3", "Q4","Q4","Q4")</f>
        <v>Q4</v>
      </c>
      <c r="C552" t="s">
        <v>23</v>
      </c>
      <c r="D552" t="s">
        <v>28</v>
      </c>
      <c r="E552" t="s">
        <v>53</v>
      </c>
      <c r="F552" s="4">
        <v>3600</v>
      </c>
      <c r="G552" s="4">
        <v>3633</v>
      </c>
      <c r="H552" s="7">
        <f t="shared" si="24"/>
        <v>33</v>
      </c>
      <c r="I552" s="9">
        <f t="shared" si="25"/>
        <v>9.1666666666666667E-3</v>
      </c>
      <c r="J552" t="str">
        <f t="shared" si="26"/>
        <v>Unfavourable</v>
      </c>
    </row>
    <row r="553" spans="1:10" x14ac:dyDescent="0.5">
      <c r="A553" t="s">
        <v>17</v>
      </c>
      <c r="B553" t="str">
        <f>CHOOSE(MATCH(A553,{"Jan","Feb","Mar","Apr","May","Jun","Jul","Aug","Sep","Oct","Nov","Dec"},0), "Q1","Q1","Q1", "Q2","Q2","Q2", "Q3","Q3","Q3", "Q4","Q4","Q4")</f>
        <v>Q4</v>
      </c>
      <c r="C553" t="s">
        <v>23</v>
      </c>
      <c r="D553" t="s">
        <v>28</v>
      </c>
      <c r="E553" t="s">
        <v>53</v>
      </c>
      <c r="F553" s="4">
        <v>5267</v>
      </c>
      <c r="G553" s="4">
        <v>5359</v>
      </c>
      <c r="H553" s="7">
        <f t="shared" si="24"/>
        <v>92</v>
      </c>
      <c r="I553" s="9">
        <f t="shared" si="25"/>
        <v>1.7467248908296942E-2</v>
      </c>
      <c r="J553" t="str">
        <f t="shared" si="26"/>
        <v>Unfavourable</v>
      </c>
    </row>
    <row r="554" spans="1:10" x14ac:dyDescent="0.5">
      <c r="A554" t="s">
        <v>4</v>
      </c>
      <c r="B554" t="str">
        <f>CHOOSE(MATCH(A554,{"Jan","Feb","Mar","Apr","May","Jun","Jul","Aug","Sep","Oct","Nov","Dec"},0), "Q1","Q1","Q1", "Q2","Q2","Q2", "Q3","Q3","Q3", "Q4","Q4","Q4")</f>
        <v>Q1</v>
      </c>
      <c r="C554" t="s">
        <v>23</v>
      </c>
      <c r="D554" t="s">
        <v>32</v>
      </c>
      <c r="E554" t="s">
        <v>53</v>
      </c>
      <c r="F554" s="4">
        <v>850</v>
      </c>
      <c r="G554" s="4">
        <v>852</v>
      </c>
      <c r="H554" s="7">
        <f t="shared" si="24"/>
        <v>2</v>
      </c>
      <c r="I554" s="9">
        <f t="shared" si="25"/>
        <v>2.352941176470588E-3</v>
      </c>
      <c r="J554" t="str">
        <f t="shared" si="26"/>
        <v>Unfavourable</v>
      </c>
    </row>
    <row r="555" spans="1:10" x14ac:dyDescent="0.5">
      <c r="A555" t="s">
        <v>7</v>
      </c>
      <c r="B555" t="str">
        <f>CHOOSE(MATCH(A555,{"Jan","Feb","Mar","Apr","May","Jun","Jul","Aug","Sep","Oct","Nov","Dec"},0), "Q1","Q1","Q1", "Q2","Q2","Q2", "Q3","Q3","Q3", "Q4","Q4","Q4")</f>
        <v>Q1</v>
      </c>
      <c r="C555" t="s">
        <v>23</v>
      </c>
      <c r="D555" t="s">
        <v>32</v>
      </c>
      <c r="E555" t="s">
        <v>53</v>
      </c>
      <c r="F555" s="4">
        <v>820</v>
      </c>
      <c r="G555" s="4">
        <v>775</v>
      </c>
      <c r="H555" s="7">
        <f t="shared" si="24"/>
        <v>-45</v>
      </c>
      <c r="I555" s="9">
        <f t="shared" si="25"/>
        <v>-5.4878048780487805E-2</v>
      </c>
      <c r="J555" t="str">
        <f t="shared" si="26"/>
        <v>Favourable</v>
      </c>
    </row>
    <row r="556" spans="1:10" x14ac:dyDescent="0.5">
      <c r="A556" t="s">
        <v>8</v>
      </c>
      <c r="B556" t="str">
        <f>CHOOSE(MATCH(A556,{"Jan","Feb","Mar","Apr","May","Jun","Jul","Aug","Sep","Oct","Nov","Dec"},0), "Q1","Q1","Q1", "Q2","Q2","Q2", "Q3","Q3","Q3", "Q4","Q4","Q4")</f>
        <v>Q1</v>
      </c>
      <c r="C556" t="s">
        <v>23</v>
      </c>
      <c r="D556" t="s">
        <v>32</v>
      </c>
      <c r="E556" t="s">
        <v>53</v>
      </c>
      <c r="F556" s="4">
        <v>920</v>
      </c>
      <c r="G556" s="4">
        <v>1092</v>
      </c>
      <c r="H556" s="7">
        <f t="shared" si="24"/>
        <v>172</v>
      </c>
      <c r="I556" s="9">
        <f t="shared" si="25"/>
        <v>0.18695652173913044</v>
      </c>
      <c r="J556" t="str">
        <f t="shared" si="26"/>
        <v>Unfavourable</v>
      </c>
    </row>
    <row r="557" spans="1:10" x14ac:dyDescent="0.5">
      <c r="A557" t="s">
        <v>9</v>
      </c>
      <c r="B557" t="str">
        <f>CHOOSE(MATCH(A557,{"Jan","Feb","Mar","Apr","May","Jun","Jul","Aug","Sep","Oct","Nov","Dec"},0), "Q1","Q1","Q1", "Q2","Q2","Q2", "Q3","Q3","Q3", "Q4","Q4","Q4")</f>
        <v>Q2</v>
      </c>
      <c r="C557" t="s">
        <v>23</v>
      </c>
      <c r="D557" t="s">
        <v>32</v>
      </c>
      <c r="E557" t="s">
        <v>53</v>
      </c>
      <c r="F557" s="4">
        <v>950</v>
      </c>
      <c r="G557" s="4">
        <v>830</v>
      </c>
      <c r="H557" s="7">
        <f t="shared" si="24"/>
        <v>-120</v>
      </c>
      <c r="I557" s="9">
        <f t="shared" si="25"/>
        <v>-0.12631578947368421</v>
      </c>
      <c r="J557" t="str">
        <f t="shared" si="26"/>
        <v>Favourable</v>
      </c>
    </row>
    <row r="558" spans="1:10" x14ac:dyDescent="0.5">
      <c r="A558" t="s">
        <v>10</v>
      </c>
      <c r="B558" t="str">
        <f>CHOOSE(MATCH(A558,{"Jan","Feb","Mar","Apr","May","Jun","Jul","Aug","Sep","Oct","Nov","Dec"},0), "Q1","Q1","Q1", "Q2","Q2","Q2", "Q3","Q3","Q3", "Q4","Q4","Q4")</f>
        <v>Q2</v>
      </c>
      <c r="C558" t="s">
        <v>23</v>
      </c>
      <c r="D558" t="s">
        <v>32</v>
      </c>
      <c r="E558" t="s">
        <v>53</v>
      </c>
      <c r="F558" s="4">
        <v>1000</v>
      </c>
      <c r="G558" s="4">
        <v>748</v>
      </c>
      <c r="H558" s="7">
        <f t="shared" si="24"/>
        <v>-252</v>
      </c>
      <c r="I558" s="9">
        <f t="shared" si="25"/>
        <v>-0.252</v>
      </c>
      <c r="J558" t="str">
        <f t="shared" si="26"/>
        <v>Favourable</v>
      </c>
    </row>
    <row r="559" spans="1:10" x14ac:dyDescent="0.5">
      <c r="A559" t="s">
        <v>11</v>
      </c>
      <c r="B559" t="str">
        <f>CHOOSE(MATCH(A559,{"Jan","Feb","Mar","Apr","May","Jun","Jul","Aug","Sep","Oct","Nov","Dec"},0), "Q1","Q1","Q1", "Q2","Q2","Q2", "Q3","Q3","Q3", "Q4","Q4","Q4")</f>
        <v>Q2</v>
      </c>
      <c r="C559" t="s">
        <v>23</v>
      </c>
      <c r="D559" t="s">
        <v>32</v>
      </c>
      <c r="E559" t="s">
        <v>53</v>
      </c>
      <c r="F559" s="4">
        <v>1020</v>
      </c>
      <c r="G559" s="4">
        <v>853</v>
      </c>
      <c r="H559" s="7">
        <f t="shared" si="24"/>
        <v>-167</v>
      </c>
      <c r="I559" s="9">
        <f t="shared" si="25"/>
        <v>-0.16372549019607843</v>
      </c>
      <c r="J559" t="str">
        <f t="shared" si="26"/>
        <v>Favourable</v>
      </c>
    </row>
    <row r="560" spans="1:10" x14ac:dyDescent="0.5">
      <c r="A560" t="s">
        <v>12</v>
      </c>
      <c r="B560" t="str">
        <f>CHOOSE(MATCH(A560,{"Jan","Feb","Mar","Apr","May","Jun","Jul","Aug","Sep","Oct","Nov","Dec"},0), "Q1","Q1","Q1", "Q2","Q2","Q2", "Q3","Q3","Q3", "Q4","Q4","Q4")</f>
        <v>Q3</v>
      </c>
      <c r="C560" t="s">
        <v>23</v>
      </c>
      <c r="D560" t="s">
        <v>32</v>
      </c>
      <c r="E560" t="s">
        <v>53</v>
      </c>
      <c r="F560" s="4">
        <v>880</v>
      </c>
      <c r="G560" s="4">
        <v>671</v>
      </c>
      <c r="H560" s="7">
        <f t="shared" si="24"/>
        <v>-209</v>
      </c>
      <c r="I560" s="9">
        <f t="shared" si="25"/>
        <v>-0.23749999999999999</v>
      </c>
      <c r="J560" t="str">
        <f t="shared" si="26"/>
        <v>Favourable</v>
      </c>
    </row>
    <row r="561" spans="1:10" x14ac:dyDescent="0.5">
      <c r="A561" t="s">
        <v>13</v>
      </c>
      <c r="B561" t="str">
        <f>CHOOSE(MATCH(A561,{"Jan","Feb","Mar","Apr","May","Jun","Jul","Aug","Sep","Oct","Nov","Dec"},0), "Q1","Q1","Q1", "Q2","Q2","Q2", "Q3","Q3","Q3", "Q4","Q4","Q4")</f>
        <v>Q3</v>
      </c>
      <c r="C561" t="s">
        <v>23</v>
      </c>
      <c r="D561" t="s">
        <v>32</v>
      </c>
      <c r="E561" t="s">
        <v>53</v>
      </c>
      <c r="F561" s="4">
        <v>850</v>
      </c>
      <c r="G561" s="4">
        <v>908</v>
      </c>
      <c r="H561" s="7">
        <f t="shared" si="24"/>
        <v>58</v>
      </c>
      <c r="I561" s="9">
        <f t="shared" si="25"/>
        <v>6.8235294117647061E-2</v>
      </c>
      <c r="J561" t="str">
        <f t="shared" si="26"/>
        <v>Unfavourable</v>
      </c>
    </row>
    <row r="562" spans="1:10" x14ac:dyDescent="0.5">
      <c r="A562" t="s">
        <v>14</v>
      </c>
      <c r="B562" t="str">
        <f>CHOOSE(MATCH(A562,{"Jan","Feb","Mar","Apr","May","Jun","Jul","Aug","Sep","Oct","Nov","Dec"},0), "Q1","Q1","Q1", "Q2","Q2","Q2", "Q3","Q3","Q3", "Q4","Q4","Q4")</f>
        <v>Q3</v>
      </c>
      <c r="C562" t="s">
        <v>23</v>
      </c>
      <c r="D562" t="s">
        <v>32</v>
      </c>
      <c r="E562" t="s">
        <v>53</v>
      </c>
      <c r="F562" s="4">
        <v>1000</v>
      </c>
      <c r="G562" s="4">
        <v>790</v>
      </c>
      <c r="H562" s="7">
        <f t="shared" si="24"/>
        <v>-210</v>
      </c>
      <c r="I562" s="9">
        <f t="shared" si="25"/>
        <v>-0.21</v>
      </c>
      <c r="J562" t="str">
        <f t="shared" si="26"/>
        <v>Favourable</v>
      </c>
    </row>
    <row r="563" spans="1:10" x14ac:dyDescent="0.5">
      <c r="A563" t="s">
        <v>15</v>
      </c>
      <c r="B563" t="str">
        <f>CHOOSE(MATCH(A563,{"Jan","Feb","Mar","Apr","May","Jun","Jul","Aug","Sep","Oct","Nov","Dec"},0), "Q1","Q1","Q1", "Q2","Q2","Q2", "Q3","Q3","Q3", "Q4","Q4","Q4")</f>
        <v>Q4</v>
      </c>
      <c r="C563" t="s">
        <v>23</v>
      </c>
      <c r="D563" t="s">
        <v>32</v>
      </c>
      <c r="E563" t="s">
        <v>53</v>
      </c>
      <c r="F563" s="4">
        <v>1050</v>
      </c>
      <c r="G563" s="4">
        <v>1007</v>
      </c>
      <c r="H563" s="7">
        <f t="shared" si="24"/>
        <v>-43</v>
      </c>
      <c r="I563" s="9">
        <f t="shared" si="25"/>
        <v>-4.0952380952380955E-2</v>
      </c>
      <c r="J563" t="str">
        <f t="shared" si="26"/>
        <v>Favourable</v>
      </c>
    </row>
    <row r="564" spans="1:10" x14ac:dyDescent="0.5">
      <c r="A564" t="s">
        <v>16</v>
      </c>
      <c r="B564" t="str">
        <f>CHOOSE(MATCH(A564,{"Jan","Feb","Mar","Apr","May","Jun","Jul","Aug","Sep","Oct","Nov","Dec"},0), "Q1","Q1","Q1", "Q2","Q2","Q2", "Q3","Q3","Q3", "Q4","Q4","Q4")</f>
        <v>Q4</v>
      </c>
      <c r="C564" t="s">
        <v>23</v>
      </c>
      <c r="D564" t="s">
        <v>32</v>
      </c>
      <c r="E564" t="s">
        <v>53</v>
      </c>
      <c r="F564" s="4">
        <v>1080</v>
      </c>
      <c r="G564" s="4">
        <v>1176</v>
      </c>
      <c r="H564" s="7">
        <f t="shared" si="24"/>
        <v>96</v>
      </c>
      <c r="I564" s="9">
        <f t="shared" si="25"/>
        <v>8.8888888888888892E-2</v>
      </c>
      <c r="J564" t="str">
        <f t="shared" si="26"/>
        <v>Unfavourable</v>
      </c>
    </row>
    <row r="565" spans="1:10" x14ac:dyDescent="0.5">
      <c r="A565" t="s">
        <v>17</v>
      </c>
      <c r="B565" t="str">
        <f>CHOOSE(MATCH(A565,{"Jan","Feb","Mar","Apr","May","Jun","Jul","Aug","Sep","Oct","Nov","Dec"},0), "Q1","Q1","Q1", "Q2","Q2","Q2", "Q3","Q3","Q3", "Q4","Q4","Q4")</f>
        <v>Q4</v>
      </c>
      <c r="C565" t="s">
        <v>23</v>
      </c>
      <c r="D565" t="s">
        <v>32</v>
      </c>
      <c r="E565" t="s">
        <v>53</v>
      </c>
      <c r="F565" s="4">
        <v>1580</v>
      </c>
      <c r="G565" s="4">
        <v>1334</v>
      </c>
      <c r="H565" s="7">
        <f t="shared" si="24"/>
        <v>-246</v>
      </c>
      <c r="I565" s="9">
        <f t="shared" si="25"/>
        <v>-0.15569620253164557</v>
      </c>
      <c r="J565" t="str">
        <f t="shared" si="26"/>
        <v>Favourable</v>
      </c>
    </row>
    <row r="566" spans="1:10" x14ac:dyDescent="0.5">
      <c r="A566" t="s">
        <v>4</v>
      </c>
      <c r="B566" t="str">
        <f>CHOOSE(MATCH(A566,{"Jan","Feb","Mar","Apr","May","Jun","Jul","Aug","Sep","Oct","Nov","Dec"},0), "Q1","Q1","Q1", "Q2","Q2","Q2", "Q3","Q3","Q3", "Q4","Q4","Q4")</f>
        <v>Q1</v>
      </c>
      <c r="C566" t="s">
        <v>23</v>
      </c>
      <c r="D566" t="s">
        <v>25</v>
      </c>
      <c r="E566" t="s">
        <v>55</v>
      </c>
      <c r="F566" s="4">
        <v>113333</v>
      </c>
      <c r="G566" s="4">
        <v>113900</v>
      </c>
      <c r="H566" s="7">
        <f t="shared" si="24"/>
        <v>567</v>
      </c>
      <c r="I566" s="9">
        <f t="shared" si="25"/>
        <v>5.002955891046738E-3</v>
      </c>
      <c r="J566" t="str">
        <f t="shared" si="26"/>
        <v>Unfavourable</v>
      </c>
    </row>
    <row r="567" spans="1:10" x14ac:dyDescent="0.5">
      <c r="A567" t="s">
        <v>7</v>
      </c>
      <c r="B567" t="str">
        <f>CHOOSE(MATCH(A567,{"Jan","Feb","Mar","Apr","May","Jun","Jul","Aug","Sep","Oct","Nov","Dec"},0), "Q1","Q1","Q1", "Q2","Q2","Q2", "Q3","Q3","Q3", "Q4","Q4","Q4")</f>
        <v>Q1</v>
      </c>
      <c r="C567" t="s">
        <v>23</v>
      </c>
      <c r="D567" t="s">
        <v>25</v>
      </c>
      <c r="E567" t="s">
        <v>55</v>
      </c>
      <c r="F567" s="4">
        <v>109333</v>
      </c>
      <c r="G567" s="4">
        <v>107761</v>
      </c>
      <c r="H567" s="7">
        <f t="shared" si="24"/>
        <v>-1572</v>
      </c>
      <c r="I567" s="9">
        <f t="shared" si="25"/>
        <v>-1.4378092616136024E-2</v>
      </c>
      <c r="J567" t="str">
        <f t="shared" si="26"/>
        <v>Favourable</v>
      </c>
    </row>
    <row r="568" spans="1:10" x14ac:dyDescent="0.5">
      <c r="A568" t="s">
        <v>8</v>
      </c>
      <c r="B568" t="str">
        <f>CHOOSE(MATCH(A568,{"Jan","Feb","Mar","Apr","May","Jun","Jul","Aug","Sep","Oct","Nov","Dec"},0), "Q1","Q1","Q1", "Q2","Q2","Q2", "Q3","Q3","Q3", "Q4","Q4","Q4")</f>
        <v>Q1</v>
      </c>
      <c r="C568" t="s">
        <v>23</v>
      </c>
      <c r="D568" t="s">
        <v>25</v>
      </c>
      <c r="E568" t="s">
        <v>55</v>
      </c>
      <c r="F568" s="4">
        <v>122667</v>
      </c>
      <c r="G568" s="4">
        <v>122158</v>
      </c>
      <c r="H568" s="7">
        <f t="shared" si="24"/>
        <v>-509</v>
      </c>
      <c r="I568" s="9">
        <f t="shared" si="25"/>
        <v>-4.1494452460727011E-3</v>
      </c>
      <c r="J568" t="str">
        <f t="shared" si="26"/>
        <v>Favourable</v>
      </c>
    </row>
    <row r="569" spans="1:10" x14ac:dyDescent="0.5">
      <c r="A569" t="s">
        <v>9</v>
      </c>
      <c r="B569" t="str">
        <f>CHOOSE(MATCH(A569,{"Jan","Feb","Mar","Apr","May","Jun","Jul","Aug","Sep","Oct","Nov","Dec"},0), "Q1","Q1","Q1", "Q2","Q2","Q2", "Q3","Q3","Q3", "Q4","Q4","Q4")</f>
        <v>Q2</v>
      </c>
      <c r="C569" t="s">
        <v>23</v>
      </c>
      <c r="D569" t="s">
        <v>25</v>
      </c>
      <c r="E569" t="s">
        <v>55</v>
      </c>
      <c r="F569" s="4">
        <v>126667</v>
      </c>
      <c r="G569" s="4">
        <v>126687</v>
      </c>
      <c r="H569" s="7">
        <f t="shared" si="24"/>
        <v>20</v>
      </c>
      <c r="I569" s="9">
        <f t="shared" si="25"/>
        <v>1.5789432133073335E-4</v>
      </c>
      <c r="J569" t="str">
        <f t="shared" si="26"/>
        <v>Unfavourable</v>
      </c>
    </row>
    <row r="570" spans="1:10" x14ac:dyDescent="0.5">
      <c r="A570" t="s">
        <v>10</v>
      </c>
      <c r="B570" t="str">
        <f>CHOOSE(MATCH(A570,{"Jan","Feb","Mar","Apr","May","Jun","Jul","Aug","Sep","Oct","Nov","Dec"},0), "Q1","Q1","Q1", "Q2","Q2","Q2", "Q3","Q3","Q3", "Q4","Q4","Q4")</f>
        <v>Q2</v>
      </c>
      <c r="C570" t="s">
        <v>23</v>
      </c>
      <c r="D570" t="s">
        <v>25</v>
      </c>
      <c r="E570" t="s">
        <v>55</v>
      </c>
      <c r="F570" s="4">
        <v>133333</v>
      </c>
      <c r="G570" s="4">
        <v>133684</v>
      </c>
      <c r="H570" s="7">
        <f t="shared" si="24"/>
        <v>351</v>
      </c>
      <c r="I570" s="9">
        <f t="shared" si="25"/>
        <v>2.6325065812664531E-3</v>
      </c>
      <c r="J570" t="str">
        <f t="shared" si="26"/>
        <v>Unfavourable</v>
      </c>
    </row>
    <row r="571" spans="1:10" x14ac:dyDescent="0.5">
      <c r="A571" t="s">
        <v>11</v>
      </c>
      <c r="B571" t="str">
        <f>CHOOSE(MATCH(A571,{"Jan","Feb","Mar","Apr","May","Jun","Jul","Aug","Sep","Oct","Nov","Dec"},0), "Q1","Q1","Q1", "Q2","Q2","Q2", "Q3","Q3","Q3", "Q4","Q4","Q4")</f>
        <v>Q2</v>
      </c>
      <c r="C571" t="s">
        <v>23</v>
      </c>
      <c r="D571" t="s">
        <v>25</v>
      </c>
      <c r="E571" t="s">
        <v>55</v>
      </c>
      <c r="F571" s="4">
        <v>136000</v>
      </c>
      <c r="G571" s="4">
        <v>136928</v>
      </c>
      <c r="H571" s="7">
        <f t="shared" si="24"/>
        <v>928</v>
      </c>
      <c r="I571" s="9">
        <f t="shared" si="25"/>
        <v>6.8235294117647057E-3</v>
      </c>
      <c r="J571" t="str">
        <f t="shared" si="26"/>
        <v>Unfavourable</v>
      </c>
    </row>
    <row r="572" spans="1:10" x14ac:dyDescent="0.5">
      <c r="A572" t="s">
        <v>12</v>
      </c>
      <c r="B572" t="str">
        <f>CHOOSE(MATCH(A572,{"Jan","Feb","Mar","Apr","May","Jun","Jul","Aug","Sep","Oct","Nov","Dec"},0), "Q1","Q1","Q1", "Q2","Q2","Q2", "Q3","Q3","Q3", "Q4","Q4","Q4")</f>
        <v>Q3</v>
      </c>
      <c r="C572" t="s">
        <v>23</v>
      </c>
      <c r="D572" t="s">
        <v>25</v>
      </c>
      <c r="E572" t="s">
        <v>55</v>
      </c>
      <c r="F572" s="4">
        <v>117333</v>
      </c>
      <c r="G572" s="4">
        <v>118961</v>
      </c>
      <c r="H572" s="7">
        <f t="shared" si="24"/>
        <v>1628</v>
      </c>
      <c r="I572" s="9">
        <f t="shared" si="25"/>
        <v>1.3875039417725618E-2</v>
      </c>
      <c r="J572" t="str">
        <f t="shared" si="26"/>
        <v>Unfavourable</v>
      </c>
    </row>
    <row r="573" spans="1:10" x14ac:dyDescent="0.5">
      <c r="A573" t="s">
        <v>13</v>
      </c>
      <c r="B573" t="str">
        <f>CHOOSE(MATCH(A573,{"Jan","Feb","Mar","Apr","May","Jun","Jul","Aug","Sep","Oct","Nov","Dec"},0), "Q1","Q1","Q1", "Q2","Q2","Q2", "Q3","Q3","Q3", "Q4","Q4","Q4")</f>
        <v>Q3</v>
      </c>
      <c r="C573" t="s">
        <v>23</v>
      </c>
      <c r="D573" t="s">
        <v>25</v>
      </c>
      <c r="E573" t="s">
        <v>55</v>
      </c>
      <c r="F573" s="4">
        <v>113333</v>
      </c>
      <c r="G573" s="4">
        <v>112061</v>
      </c>
      <c r="H573" s="7">
        <f t="shared" si="24"/>
        <v>-1272</v>
      </c>
      <c r="I573" s="9">
        <f t="shared" si="25"/>
        <v>-1.1223562422242418E-2</v>
      </c>
      <c r="J573" t="str">
        <f t="shared" si="26"/>
        <v>Favourable</v>
      </c>
    </row>
    <row r="574" spans="1:10" x14ac:dyDescent="0.5">
      <c r="A574" t="s">
        <v>14</v>
      </c>
      <c r="B574" t="str">
        <f>CHOOSE(MATCH(A574,{"Jan","Feb","Mar","Apr","May","Jun","Jul","Aug","Sep","Oct","Nov","Dec"},0), "Q1","Q1","Q1", "Q2","Q2","Q2", "Q3","Q3","Q3", "Q4","Q4","Q4")</f>
        <v>Q3</v>
      </c>
      <c r="C574" t="s">
        <v>23</v>
      </c>
      <c r="D574" t="s">
        <v>25</v>
      </c>
      <c r="E574" t="s">
        <v>55</v>
      </c>
      <c r="F574" s="4">
        <v>133333</v>
      </c>
      <c r="G574" s="4">
        <v>131735</v>
      </c>
      <c r="H574" s="7">
        <f t="shared" si="24"/>
        <v>-1598</v>
      </c>
      <c r="I574" s="9">
        <f t="shared" si="25"/>
        <v>-1.1985029962574906E-2</v>
      </c>
      <c r="J574" t="str">
        <f t="shared" si="26"/>
        <v>Favourable</v>
      </c>
    </row>
    <row r="575" spans="1:10" x14ac:dyDescent="0.5">
      <c r="A575" t="s">
        <v>15</v>
      </c>
      <c r="B575" t="str">
        <f>CHOOSE(MATCH(A575,{"Jan","Feb","Mar","Apr","May","Jun","Jul","Aug","Sep","Oct","Nov","Dec"},0), "Q1","Q1","Q1", "Q2","Q2","Q2", "Q3","Q3","Q3", "Q4","Q4","Q4")</f>
        <v>Q4</v>
      </c>
      <c r="C575" t="s">
        <v>23</v>
      </c>
      <c r="D575" t="s">
        <v>25</v>
      </c>
      <c r="E575" t="s">
        <v>55</v>
      </c>
      <c r="F575" s="4">
        <v>140000</v>
      </c>
      <c r="G575" s="4">
        <v>139020</v>
      </c>
      <c r="H575" s="7">
        <f t="shared" si="24"/>
        <v>-980</v>
      </c>
      <c r="I575" s="9">
        <f t="shared" si="25"/>
        <v>-7.0000000000000001E-3</v>
      </c>
      <c r="J575" t="str">
        <f t="shared" si="26"/>
        <v>Favourable</v>
      </c>
    </row>
    <row r="576" spans="1:10" x14ac:dyDescent="0.5">
      <c r="A576" t="s">
        <v>16</v>
      </c>
      <c r="B576" t="str">
        <f>CHOOSE(MATCH(A576,{"Jan","Feb","Mar","Apr","May","Jun","Jul","Aug","Sep","Oct","Nov","Dec"},0), "Q1","Q1","Q1", "Q2","Q2","Q2", "Q3","Q3","Q3", "Q4","Q4","Q4")</f>
        <v>Q4</v>
      </c>
      <c r="C576" t="s">
        <v>23</v>
      </c>
      <c r="D576" t="s">
        <v>25</v>
      </c>
      <c r="E576" t="s">
        <v>55</v>
      </c>
      <c r="F576" s="4">
        <v>144000</v>
      </c>
      <c r="G576" s="4">
        <v>144605</v>
      </c>
      <c r="H576" s="7">
        <f t="shared" si="24"/>
        <v>605</v>
      </c>
      <c r="I576" s="9">
        <f t="shared" si="25"/>
        <v>4.2013888888888891E-3</v>
      </c>
      <c r="J576" t="str">
        <f t="shared" si="26"/>
        <v>Unfavourable</v>
      </c>
    </row>
    <row r="577" spans="1:10" x14ac:dyDescent="0.5">
      <c r="A577" t="s">
        <v>17</v>
      </c>
      <c r="B577" t="str">
        <f>CHOOSE(MATCH(A577,{"Jan","Feb","Mar","Apr","May","Jun","Jul","Aug","Sep","Oct","Nov","Dec"},0), "Q1","Q1","Q1", "Q2","Q2","Q2", "Q3","Q3","Q3", "Q4","Q4","Q4")</f>
        <v>Q4</v>
      </c>
      <c r="C577" t="s">
        <v>23</v>
      </c>
      <c r="D577" t="s">
        <v>25</v>
      </c>
      <c r="E577" t="s">
        <v>55</v>
      </c>
      <c r="F577" s="4">
        <v>210667</v>
      </c>
      <c r="G577" s="4">
        <v>211231</v>
      </c>
      <c r="H577" s="7">
        <f t="shared" si="24"/>
        <v>564</v>
      </c>
      <c r="I577" s="9">
        <f t="shared" si="25"/>
        <v>2.6772109537801362E-3</v>
      </c>
      <c r="J577" t="str">
        <f t="shared" si="26"/>
        <v>Unfavourable</v>
      </c>
    </row>
    <row r="578" spans="1:10" x14ac:dyDescent="0.5">
      <c r="A578" t="s">
        <v>4</v>
      </c>
      <c r="B578" t="str">
        <f>CHOOSE(MATCH(A578,{"Jan","Feb","Mar","Apr","May","Jun","Jul","Aug","Sep","Oct","Nov","Dec"},0), "Q1","Q1","Q1", "Q2","Q2","Q2", "Q3","Q3","Q3", "Q4","Q4","Q4")</f>
        <v>Q1</v>
      </c>
      <c r="C578" t="s">
        <v>23</v>
      </c>
      <c r="D578" t="s">
        <v>56</v>
      </c>
      <c r="E578" t="s">
        <v>55</v>
      </c>
      <c r="F578" s="4">
        <v>14167</v>
      </c>
      <c r="G578" s="4">
        <v>14554</v>
      </c>
      <c r="H578" s="7">
        <f t="shared" si="24"/>
        <v>387</v>
      </c>
      <c r="I578" s="9">
        <f t="shared" si="25"/>
        <v>2.7317004305781042E-2</v>
      </c>
      <c r="J578" t="str">
        <f t="shared" si="26"/>
        <v>Unfavourable</v>
      </c>
    </row>
    <row r="579" spans="1:10" x14ac:dyDescent="0.5">
      <c r="A579" t="s">
        <v>7</v>
      </c>
      <c r="B579" t="str">
        <f>CHOOSE(MATCH(A579,{"Jan","Feb","Mar","Apr","May","Jun","Jul","Aug","Sep","Oct","Nov","Dec"},0), "Q1","Q1","Q1", "Q2","Q2","Q2", "Q3","Q3","Q3", "Q4","Q4","Q4")</f>
        <v>Q1</v>
      </c>
      <c r="C579" t="s">
        <v>23</v>
      </c>
      <c r="D579" t="s">
        <v>56</v>
      </c>
      <c r="E579" t="s">
        <v>55</v>
      </c>
      <c r="F579" s="4">
        <v>13667</v>
      </c>
      <c r="G579" s="4">
        <v>13449</v>
      </c>
      <c r="H579" s="7">
        <f t="shared" ref="H579:H642" si="27">G579-F579</f>
        <v>-218</v>
      </c>
      <c r="I579" s="9">
        <f t="shared" ref="I579:I642" si="28">SUM(G579-F579)/F579</f>
        <v>-1.5950830467549571E-2</v>
      </c>
      <c r="J579" t="str">
        <f t="shared" ref="J579:J642" si="29">IF(C579="Revenue",IF(G579&gt;F579,"Favourable","Unfavourable"),IF(G579&lt;F579,"Favourable","Unfavourable"))</f>
        <v>Favourable</v>
      </c>
    </row>
    <row r="580" spans="1:10" x14ac:dyDescent="0.5">
      <c r="A580" t="s">
        <v>8</v>
      </c>
      <c r="B580" t="str">
        <f>CHOOSE(MATCH(A580,{"Jan","Feb","Mar","Apr","May","Jun","Jul","Aug","Sep","Oct","Nov","Dec"},0), "Q1","Q1","Q1", "Q2","Q2","Q2", "Q3","Q3","Q3", "Q4","Q4","Q4")</f>
        <v>Q1</v>
      </c>
      <c r="C580" t="s">
        <v>23</v>
      </c>
      <c r="D580" t="s">
        <v>56</v>
      </c>
      <c r="E580" t="s">
        <v>55</v>
      </c>
      <c r="F580" s="4">
        <v>15333</v>
      </c>
      <c r="G580" s="4">
        <v>14398</v>
      </c>
      <c r="H580" s="7">
        <f t="shared" si="27"/>
        <v>-935</v>
      </c>
      <c r="I580" s="9">
        <f t="shared" si="28"/>
        <v>-6.0979586512750275E-2</v>
      </c>
      <c r="J580" t="str">
        <f t="shared" si="29"/>
        <v>Favourable</v>
      </c>
    </row>
    <row r="581" spans="1:10" x14ac:dyDescent="0.5">
      <c r="A581" t="s">
        <v>9</v>
      </c>
      <c r="B581" t="str">
        <f>CHOOSE(MATCH(A581,{"Jan","Feb","Mar","Apr","May","Jun","Jul","Aug","Sep","Oct","Nov","Dec"},0), "Q1","Q1","Q1", "Q2","Q2","Q2", "Q3","Q3","Q3", "Q4","Q4","Q4")</f>
        <v>Q2</v>
      </c>
      <c r="C581" t="s">
        <v>23</v>
      </c>
      <c r="D581" t="s">
        <v>56</v>
      </c>
      <c r="E581" t="s">
        <v>55</v>
      </c>
      <c r="F581" s="4">
        <v>15833</v>
      </c>
      <c r="G581" s="4">
        <v>15259</v>
      </c>
      <c r="H581" s="7">
        <f t="shared" si="27"/>
        <v>-574</v>
      </c>
      <c r="I581" s="9">
        <f t="shared" si="28"/>
        <v>-3.6253394808311752E-2</v>
      </c>
      <c r="J581" t="str">
        <f t="shared" si="29"/>
        <v>Favourable</v>
      </c>
    </row>
    <row r="582" spans="1:10" x14ac:dyDescent="0.5">
      <c r="A582" t="s">
        <v>10</v>
      </c>
      <c r="B582" t="str">
        <f>CHOOSE(MATCH(A582,{"Jan","Feb","Mar","Apr","May","Jun","Jul","Aug","Sep","Oct","Nov","Dec"},0), "Q1","Q1","Q1", "Q2","Q2","Q2", "Q3","Q3","Q3", "Q4","Q4","Q4")</f>
        <v>Q2</v>
      </c>
      <c r="C582" t="s">
        <v>23</v>
      </c>
      <c r="D582" t="s">
        <v>56</v>
      </c>
      <c r="E582" t="s">
        <v>55</v>
      </c>
      <c r="F582" s="4">
        <v>16667</v>
      </c>
      <c r="G582" s="4">
        <v>16303</v>
      </c>
      <c r="H582" s="7">
        <f t="shared" si="27"/>
        <v>-364</v>
      </c>
      <c r="I582" s="9">
        <f t="shared" si="28"/>
        <v>-2.1839563208735827E-2</v>
      </c>
      <c r="J582" t="str">
        <f t="shared" si="29"/>
        <v>Favourable</v>
      </c>
    </row>
    <row r="583" spans="1:10" x14ac:dyDescent="0.5">
      <c r="A583" t="s">
        <v>11</v>
      </c>
      <c r="B583" t="str">
        <f>CHOOSE(MATCH(A583,{"Jan","Feb","Mar","Apr","May","Jun","Jul","Aug","Sep","Oct","Nov","Dec"},0), "Q1","Q1","Q1", "Q2","Q2","Q2", "Q3","Q3","Q3", "Q4","Q4","Q4")</f>
        <v>Q2</v>
      </c>
      <c r="C583" t="s">
        <v>23</v>
      </c>
      <c r="D583" t="s">
        <v>56</v>
      </c>
      <c r="E583" t="s">
        <v>55</v>
      </c>
      <c r="F583" s="4">
        <v>17000</v>
      </c>
      <c r="G583" s="4">
        <v>17019</v>
      </c>
      <c r="H583" s="7">
        <f t="shared" si="27"/>
        <v>19</v>
      </c>
      <c r="I583" s="9">
        <f t="shared" si="28"/>
        <v>1.1176470588235294E-3</v>
      </c>
      <c r="J583" t="str">
        <f t="shared" si="29"/>
        <v>Unfavourable</v>
      </c>
    </row>
    <row r="584" spans="1:10" x14ac:dyDescent="0.5">
      <c r="A584" t="s">
        <v>12</v>
      </c>
      <c r="B584" t="str">
        <f>CHOOSE(MATCH(A584,{"Jan","Feb","Mar","Apr","May","Jun","Jul","Aug","Sep","Oct","Nov","Dec"},0), "Q1","Q1","Q1", "Q2","Q2","Q2", "Q3","Q3","Q3", "Q4","Q4","Q4")</f>
        <v>Q3</v>
      </c>
      <c r="C584" t="s">
        <v>23</v>
      </c>
      <c r="D584" t="s">
        <v>56</v>
      </c>
      <c r="E584" t="s">
        <v>55</v>
      </c>
      <c r="F584" s="4">
        <v>14667</v>
      </c>
      <c r="G584" s="4">
        <v>14872</v>
      </c>
      <c r="H584" s="7">
        <f t="shared" si="27"/>
        <v>205</v>
      </c>
      <c r="I584" s="9">
        <f t="shared" si="28"/>
        <v>1.3976955069202972E-2</v>
      </c>
      <c r="J584" t="str">
        <f t="shared" si="29"/>
        <v>Unfavourable</v>
      </c>
    </row>
    <row r="585" spans="1:10" x14ac:dyDescent="0.5">
      <c r="A585" t="s">
        <v>13</v>
      </c>
      <c r="B585" t="str">
        <f>CHOOSE(MATCH(A585,{"Jan","Feb","Mar","Apr","May","Jun","Jul","Aug","Sep","Oct","Nov","Dec"},0), "Q1","Q1","Q1", "Q2","Q2","Q2", "Q3","Q3","Q3", "Q4","Q4","Q4")</f>
        <v>Q3</v>
      </c>
      <c r="C585" t="s">
        <v>23</v>
      </c>
      <c r="D585" t="s">
        <v>56</v>
      </c>
      <c r="E585" t="s">
        <v>55</v>
      </c>
      <c r="F585" s="4">
        <v>14167</v>
      </c>
      <c r="G585" s="4">
        <v>15254</v>
      </c>
      <c r="H585" s="7">
        <f t="shared" si="27"/>
        <v>1087</v>
      </c>
      <c r="I585" s="9">
        <f t="shared" si="28"/>
        <v>7.6727606409260962E-2</v>
      </c>
      <c r="J585" t="str">
        <f t="shared" si="29"/>
        <v>Unfavourable</v>
      </c>
    </row>
    <row r="586" spans="1:10" x14ac:dyDescent="0.5">
      <c r="A586" t="s">
        <v>14</v>
      </c>
      <c r="B586" t="str">
        <f>CHOOSE(MATCH(A586,{"Jan","Feb","Mar","Apr","May","Jun","Jul","Aug","Sep","Oct","Nov","Dec"},0), "Q1","Q1","Q1", "Q2","Q2","Q2", "Q3","Q3","Q3", "Q4","Q4","Q4")</f>
        <v>Q3</v>
      </c>
      <c r="C586" t="s">
        <v>23</v>
      </c>
      <c r="D586" t="s">
        <v>56</v>
      </c>
      <c r="E586" t="s">
        <v>55</v>
      </c>
      <c r="F586" s="4">
        <v>16667</v>
      </c>
      <c r="G586" s="4">
        <v>16542</v>
      </c>
      <c r="H586" s="7">
        <f t="shared" si="27"/>
        <v>-125</v>
      </c>
      <c r="I586" s="9">
        <f t="shared" si="28"/>
        <v>-7.4998500029999403E-3</v>
      </c>
      <c r="J586" t="str">
        <f t="shared" si="29"/>
        <v>Favourable</v>
      </c>
    </row>
    <row r="587" spans="1:10" x14ac:dyDescent="0.5">
      <c r="A587" t="s">
        <v>15</v>
      </c>
      <c r="B587" t="str">
        <f>CHOOSE(MATCH(A587,{"Jan","Feb","Mar","Apr","May","Jun","Jul","Aug","Sep","Oct","Nov","Dec"},0), "Q1","Q1","Q1", "Q2","Q2","Q2", "Q3","Q3","Q3", "Q4","Q4","Q4")</f>
        <v>Q4</v>
      </c>
      <c r="C587" t="s">
        <v>23</v>
      </c>
      <c r="D587" t="s">
        <v>56</v>
      </c>
      <c r="E587" t="s">
        <v>55</v>
      </c>
      <c r="F587" s="4">
        <v>17500</v>
      </c>
      <c r="G587" s="4">
        <v>16685</v>
      </c>
      <c r="H587" s="7">
        <f t="shared" si="27"/>
        <v>-815</v>
      </c>
      <c r="I587" s="9">
        <f t="shared" si="28"/>
        <v>-4.6571428571428569E-2</v>
      </c>
      <c r="J587" t="str">
        <f t="shared" si="29"/>
        <v>Favourable</v>
      </c>
    </row>
    <row r="588" spans="1:10" x14ac:dyDescent="0.5">
      <c r="A588" t="s">
        <v>16</v>
      </c>
      <c r="B588" t="str">
        <f>CHOOSE(MATCH(A588,{"Jan","Feb","Mar","Apr","May","Jun","Jul","Aug","Sep","Oct","Nov","Dec"},0), "Q1","Q1","Q1", "Q2","Q2","Q2", "Q3","Q3","Q3", "Q4","Q4","Q4")</f>
        <v>Q4</v>
      </c>
      <c r="C588" t="s">
        <v>23</v>
      </c>
      <c r="D588" t="s">
        <v>56</v>
      </c>
      <c r="E588" t="s">
        <v>55</v>
      </c>
      <c r="F588" s="4">
        <v>18000</v>
      </c>
      <c r="G588" s="4">
        <v>18055</v>
      </c>
      <c r="H588" s="7">
        <f t="shared" si="27"/>
        <v>55</v>
      </c>
      <c r="I588" s="9">
        <f t="shared" si="28"/>
        <v>3.0555555555555557E-3</v>
      </c>
      <c r="J588" t="str">
        <f t="shared" si="29"/>
        <v>Unfavourable</v>
      </c>
    </row>
    <row r="589" spans="1:10" x14ac:dyDescent="0.5">
      <c r="A589" t="s">
        <v>17</v>
      </c>
      <c r="B589" t="str">
        <f>CHOOSE(MATCH(A589,{"Jan","Feb","Mar","Apr","May","Jun","Jul","Aug","Sep","Oct","Nov","Dec"},0), "Q1","Q1","Q1", "Q2","Q2","Q2", "Q3","Q3","Q3", "Q4","Q4","Q4")</f>
        <v>Q4</v>
      </c>
      <c r="C589" t="s">
        <v>23</v>
      </c>
      <c r="D589" t="s">
        <v>56</v>
      </c>
      <c r="E589" t="s">
        <v>55</v>
      </c>
      <c r="F589" s="4">
        <v>26333</v>
      </c>
      <c r="G589" s="4">
        <v>29162</v>
      </c>
      <c r="H589" s="7">
        <f t="shared" si="27"/>
        <v>2829</v>
      </c>
      <c r="I589" s="9">
        <f t="shared" si="28"/>
        <v>0.10743173964227395</v>
      </c>
      <c r="J589" t="str">
        <f t="shared" si="29"/>
        <v>Unfavourable</v>
      </c>
    </row>
    <row r="590" spans="1:10" x14ac:dyDescent="0.5">
      <c r="A590" t="s">
        <v>4</v>
      </c>
      <c r="B590" t="str">
        <f>CHOOSE(MATCH(A590,{"Jan","Feb","Mar","Apr","May","Jun","Jul","Aug","Sep","Oct","Nov","Dec"},0), "Q1","Q1","Q1", "Q2","Q2","Q2", "Q3","Q3","Q3", "Q4","Q4","Q4")</f>
        <v>Q1</v>
      </c>
      <c r="C590" t="s">
        <v>23</v>
      </c>
      <c r="D590" t="s">
        <v>57</v>
      </c>
      <c r="E590" t="s">
        <v>55</v>
      </c>
      <c r="F590" s="4">
        <v>5667</v>
      </c>
      <c r="G590" s="4">
        <v>5505</v>
      </c>
      <c r="H590" s="7">
        <f t="shared" si="27"/>
        <v>-162</v>
      </c>
      <c r="I590" s="9">
        <f t="shared" si="28"/>
        <v>-2.8586553732133403E-2</v>
      </c>
      <c r="J590" t="str">
        <f t="shared" si="29"/>
        <v>Favourable</v>
      </c>
    </row>
    <row r="591" spans="1:10" x14ac:dyDescent="0.5">
      <c r="A591" t="s">
        <v>7</v>
      </c>
      <c r="B591" t="str">
        <f>CHOOSE(MATCH(A591,{"Jan","Feb","Mar","Apr","May","Jun","Jul","Aug","Sep","Oct","Nov","Dec"},0), "Q1","Q1","Q1", "Q2","Q2","Q2", "Q3","Q3","Q3", "Q4","Q4","Q4")</f>
        <v>Q1</v>
      </c>
      <c r="C591" t="s">
        <v>23</v>
      </c>
      <c r="D591" t="s">
        <v>57</v>
      </c>
      <c r="E591" t="s">
        <v>55</v>
      </c>
      <c r="F591" s="4">
        <v>5467</v>
      </c>
      <c r="G591" s="4">
        <v>6107</v>
      </c>
      <c r="H591" s="7">
        <f t="shared" si="27"/>
        <v>640</v>
      </c>
      <c r="I591" s="9">
        <f t="shared" si="28"/>
        <v>0.1170660325589903</v>
      </c>
      <c r="J591" t="str">
        <f t="shared" si="29"/>
        <v>Unfavourable</v>
      </c>
    </row>
    <row r="592" spans="1:10" x14ac:dyDescent="0.5">
      <c r="A592" t="s">
        <v>8</v>
      </c>
      <c r="B592" t="str">
        <f>CHOOSE(MATCH(A592,{"Jan","Feb","Mar","Apr","May","Jun","Jul","Aug","Sep","Oct","Nov","Dec"},0), "Q1","Q1","Q1", "Q2","Q2","Q2", "Q3","Q3","Q3", "Q4","Q4","Q4")</f>
        <v>Q1</v>
      </c>
      <c r="C592" t="s">
        <v>23</v>
      </c>
      <c r="D592" t="s">
        <v>57</v>
      </c>
      <c r="E592" t="s">
        <v>55</v>
      </c>
      <c r="F592" s="4">
        <v>6133</v>
      </c>
      <c r="G592" s="4">
        <v>6284</v>
      </c>
      <c r="H592" s="7">
        <f t="shared" si="27"/>
        <v>151</v>
      </c>
      <c r="I592" s="9">
        <f t="shared" si="28"/>
        <v>2.46209033099625E-2</v>
      </c>
      <c r="J592" t="str">
        <f t="shared" si="29"/>
        <v>Unfavourable</v>
      </c>
    </row>
    <row r="593" spans="1:10" x14ac:dyDescent="0.5">
      <c r="A593" t="s">
        <v>9</v>
      </c>
      <c r="B593" t="str">
        <f>CHOOSE(MATCH(A593,{"Jan","Feb","Mar","Apr","May","Jun","Jul","Aug","Sep","Oct","Nov","Dec"},0), "Q1","Q1","Q1", "Q2","Q2","Q2", "Q3","Q3","Q3", "Q4","Q4","Q4")</f>
        <v>Q2</v>
      </c>
      <c r="C593" t="s">
        <v>23</v>
      </c>
      <c r="D593" t="s">
        <v>57</v>
      </c>
      <c r="E593" t="s">
        <v>55</v>
      </c>
      <c r="F593" s="4">
        <v>6333</v>
      </c>
      <c r="G593" s="4">
        <v>5964</v>
      </c>
      <c r="H593" s="7">
        <f t="shared" si="27"/>
        <v>-369</v>
      </c>
      <c r="I593" s="9">
        <f t="shared" si="28"/>
        <v>-5.8266224538133585E-2</v>
      </c>
      <c r="J593" t="str">
        <f t="shared" si="29"/>
        <v>Favourable</v>
      </c>
    </row>
    <row r="594" spans="1:10" x14ac:dyDescent="0.5">
      <c r="A594" t="s">
        <v>10</v>
      </c>
      <c r="B594" t="str">
        <f>CHOOSE(MATCH(A594,{"Jan","Feb","Mar","Apr","May","Jun","Jul","Aug","Sep","Oct","Nov","Dec"},0), "Q1","Q1","Q1", "Q2","Q2","Q2", "Q3","Q3","Q3", "Q4","Q4","Q4")</f>
        <v>Q2</v>
      </c>
      <c r="C594" t="s">
        <v>23</v>
      </c>
      <c r="D594" t="s">
        <v>57</v>
      </c>
      <c r="E594" t="s">
        <v>55</v>
      </c>
      <c r="F594" s="4">
        <v>6667</v>
      </c>
      <c r="G594" s="4">
        <v>6389</v>
      </c>
      <c r="H594" s="7">
        <f t="shared" si="27"/>
        <v>-278</v>
      </c>
      <c r="I594" s="9">
        <f t="shared" si="28"/>
        <v>-4.1697915104244788E-2</v>
      </c>
      <c r="J594" t="str">
        <f t="shared" si="29"/>
        <v>Favourable</v>
      </c>
    </row>
    <row r="595" spans="1:10" x14ac:dyDescent="0.5">
      <c r="A595" t="s">
        <v>11</v>
      </c>
      <c r="B595" t="str">
        <f>CHOOSE(MATCH(A595,{"Jan","Feb","Mar","Apr","May","Jun","Jul","Aug","Sep","Oct","Nov","Dec"},0), "Q1","Q1","Q1", "Q2","Q2","Q2", "Q3","Q3","Q3", "Q4","Q4","Q4")</f>
        <v>Q2</v>
      </c>
      <c r="C595" t="s">
        <v>23</v>
      </c>
      <c r="D595" t="s">
        <v>57</v>
      </c>
      <c r="E595" t="s">
        <v>55</v>
      </c>
      <c r="F595" s="4">
        <v>6800</v>
      </c>
      <c r="G595" s="4">
        <v>6883</v>
      </c>
      <c r="H595" s="7">
        <f t="shared" si="27"/>
        <v>83</v>
      </c>
      <c r="I595" s="9">
        <f t="shared" si="28"/>
        <v>1.2205882352941176E-2</v>
      </c>
      <c r="J595" t="str">
        <f t="shared" si="29"/>
        <v>Unfavourable</v>
      </c>
    </row>
    <row r="596" spans="1:10" x14ac:dyDescent="0.5">
      <c r="A596" t="s">
        <v>12</v>
      </c>
      <c r="B596" t="str">
        <f>CHOOSE(MATCH(A596,{"Jan","Feb","Mar","Apr","May","Jun","Jul","Aug","Sep","Oct","Nov","Dec"},0), "Q1","Q1","Q1", "Q2","Q2","Q2", "Q3","Q3","Q3", "Q4","Q4","Q4")</f>
        <v>Q3</v>
      </c>
      <c r="C596" t="s">
        <v>23</v>
      </c>
      <c r="D596" t="s">
        <v>57</v>
      </c>
      <c r="E596" t="s">
        <v>55</v>
      </c>
      <c r="F596" s="4">
        <v>5867</v>
      </c>
      <c r="G596" s="4">
        <v>5756</v>
      </c>
      <c r="H596" s="7">
        <f t="shared" si="27"/>
        <v>-111</v>
      </c>
      <c r="I596" s="9">
        <f t="shared" si="28"/>
        <v>-1.8919379580705643E-2</v>
      </c>
      <c r="J596" t="str">
        <f t="shared" si="29"/>
        <v>Favourable</v>
      </c>
    </row>
    <row r="597" spans="1:10" x14ac:dyDescent="0.5">
      <c r="A597" t="s">
        <v>13</v>
      </c>
      <c r="B597" t="str">
        <f>CHOOSE(MATCH(A597,{"Jan","Feb","Mar","Apr","May","Jun","Jul","Aug","Sep","Oct","Nov","Dec"},0), "Q1","Q1","Q1", "Q2","Q2","Q2", "Q3","Q3","Q3", "Q4","Q4","Q4")</f>
        <v>Q3</v>
      </c>
      <c r="C597" t="s">
        <v>23</v>
      </c>
      <c r="D597" t="s">
        <v>57</v>
      </c>
      <c r="E597" t="s">
        <v>55</v>
      </c>
      <c r="F597" s="4">
        <v>5667</v>
      </c>
      <c r="G597" s="4">
        <v>6567</v>
      </c>
      <c r="H597" s="7">
        <f t="shared" si="27"/>
        <v>900</v>
      </c>
      <c r="I597" s="9">
        <f t="shared" si="28"/>
        <v>0.15881418740074113</v>
      </c>
      <c r="J597" t="str">
        <f t="shared" si="29"/>
        <v>Unfavourable</v>
      </c>
    </row>
    <row r="598" spans="1:10" x14ac:dyDescent="0.5">
      <c r="A598" t="s">
        <v>14</v>
      </c>
      <c r="B598" t="str">
        <f>CHOOSE(MATCH(A598,{"Jan","Feb","Mar","Apr","May","Jun","Jul","Aug","Sep","Oct","Nov","Dec"},0), "Q1","Q1","Q1", "Q2","Q2","Q2", "Q3","Q3","Q3", "Q4","Q4","Q4")</f>
        <v>Q3</v>
      </c>
      <c r="C598" t="s">
        <v>23</v>
      </c>
      <c r="D598" t="s">
        <v>57</v>
      </c>
      <c r="E598" t="s">
        <v>55</v>
      </c>
      <c r="F598" s="4">
        <v>6667</v>
      </c>
      <c r="G598" s="4">
        <v>6603</v>
      </c>
      <c r="H598" s="7">
        <f t="shared" si="27"/>
        <v>-64</v>
      </c>
      <c r="I598" s="9">
        <f t="shared" si="28"/>
        <v>-9.5995200239987998E-3</v>
      </c>
      <c r="J598" t="str">
        <f t="shared" si="29"/>
        <v>Favourable</v>
      </c>
    </row>
    <row r="599" spans="1:10" x14ac:dyDescent="0.5">
      <c r="A599" t="s">
        <v>15</v>
      </c>
      <c r="B599" t="str">
        <f>CHOOSE(MATCH(A599,{"Jan","Feb","Mar","Apr","May","Jun","Jul","Aug","Sep","Oct","Nov","Dec"},0), "Q1","Q1","Q1", "Q2","Q2","Q2", "Q3","Q3","Q3", "Q4","Q4","Q4")</f>
        <v>Q4</v>
      </c>
      <c r="C599" t="s">
        <v>23</v>
      </c>
      <c r="D599" t="s">
        <v>57</v>
      </c>
      <c r="E599" t="s">
        <v>55</v>
      </c>
      <c r="F599" s="4">
        <v>7000</v>
      </c>
      <c r="G599" s="4">
        <v>7518</v>
      </c>
      <c r="H599" s="7">
        <f t="shared" si="27"/>
        <v>518</v>
      </c>
      <c r="I599" s="9">
        <f t="shared" si="28"/>
        <v>7.3999999999999996E-2</v>
      </c>
      <c r="J599" t="str">
        <f t="shared" si="29"/>
        <v>Unfavourable</v>
      </c>
    </row>
    <row r="600" spans="1:10" x14ac:dyDescent="0.5">
      <c r="A600" t="s">
        <v>16</v>
      </c>
      <c r="B600" t="str">
        <f>CHOOSE(MATCH(A600,{"Jan","Feb","Mar","Apr","May","Jun","Jul","Aug","Sep","Oct","Nov","Dec"},0), "Q1","Q1","Q1", "Q2","Q2","Q2", "Q3","Q3","Q3", "Q4","Q4","Q4")</f>
        <v>Q4</v>
      </c>
      <c r="C600" t="s">
        <v>23</v>
      </c>
      <c r="D600" t="s">
        <v>57</v>
      </c>
      <c r="E600" t="s">
        <v>55</v>
      </c>
      <c r="F600" s="4">
        <v>7200</v>
      </c>
      <c r="G600" s="4">
        <v>8014</v>
      </c>
      <c r="H600" s="7">
        <f t="shared" si="27"/>
        <v>814</v>
      </c>
      <c r="I600" s="9">
        <f t="shared" si="28"/>
        <v>0.11305555555555556</v>
      </c>
      <c r="J600" t="str">
        <f t="shared" si="29"/>
        <v>Unfavourable</v>
      </c>
    </row>
    <row r="601" spans="1:10" x14ac:dyDescent="0.5">
      <c r="A601" t="s">
        <v>17</v>
      </c>
      <c r="B601" t="str">
        <f>CHOOSE(MATCH(A601,{"Jan","Feb","Mar","Apr","May","Jun","Jul","Aug","Sep","Oct","Nov","Dec"},0), "Q1","Q1","Q1", "Q2","Q2","Q2", "Q3","Q3","Q3", "Q4","Q4","Q4")</f>
        <v>Q4</v>
      </c>
      <c r="C601" t="s">
        <v>23</v>
      </c>
      <c r="D601" t="s">
        <v>57</v>
      </c>
      <c r="E601" t="s">
        <v>55</v>
      </c>
      <c r="F601" s="4">
        <v>10533</v>
      </c>
      <c r="G601" s="4">
        <v>10897</v>
      </c>
      <c r="H601" s="7">
        <f t="shared" si="27"/>
        <v>364</v>
      </c>
      <c r="I601" s="9">
        <f t="shared" si="28"/>
        <v>3.4558055634671986E-2</v>
      </c>
      <c r="J601" t="str">
        <f t="shared" si="29"/>
        <v>Unfavourable</v>
      </c>
    </row>
    <row r="602" spans="1:10" x14ac:dyDescent="0.5">
      <c r="A602" t="s">
        <v>4</v>
      </c>
      <c r="B602" t="str">
        <f>CHOOSE(MATCH(A602,{"Jan","Feb","Mar","Apr","May","Jun","Jul","Aug","Sep","Oct","Nov","Dec"},0), "Q1","Q1","Q1", "Q2","Q2","Q2", "Q3","Q3","Q3", "Q4","Q4","Q4")</f>
        <v>Q1</v>
      </c>
      <c r="C602" t="s">
        <v>23</v>
      </c>
      <c r="D602" t="s">
        <v>58</v>
      </c>
      <c r="E602" t="s">
        <v>55</v>
      </c>
      <c r="F602" s="4">
        <v>8500</v>
      </c>
      <c r="G602" s="4">
        <v>8077</v>
      </c>
      <c r="H602" s="7">
        <f t="shared" si="27"/>
        <v>-423</v>
      </c>
      <c r="I602" s="9">
        <f t="shared" si="28"/>
        <v>-4.976470588235294E-2</v>
      </c>
      <c r="J602" t="str">
        <f t="shared" si="29"/>
        <v>Favourable</v>
      </c>
    </row>
    <row r="603" spans="1:10" x14ac:dyDescent="0.5">
      <c r="A603" t="s">
        <v>7</v>
      </c>
      <c r="B603" t="str">
        <f>CHOOSE(MATCH(A603,{"Jan","Feb","Mar","Apr","May","Jun","Jul","Aug","Sep","Oct","Nov","Dec"},0), "Q1","Q1","Q1", "Q2","Q2","Q2", "Q3","Q3","Q3", "Q4","Q4","Q4")</f>
        <v>Q1</v>
      </c>
      <c r="C603" t="s">
        <v>23</v>
      </c>
      <c r="D603" t="s">
        <v>58</v>
      </c>
      <c r="E603" t="s">
        <v>55</v>
      </c>
      <c r="F603" s="4">
        <v>8200</v>
      </c>
      <c r="G603" s="4">
        <v>8088</v>
      </c>
      <c r="H603" s="7">
        <f t="shared" si="27"/>
        <v>-112</v>
      </c>
      <c r="I603" s="9">
        <f t="shared" si="28"/>
        <v>-1.3658536585365854E-2</v>
      </c>
      <c r="J603" t="str">
        <f t="shared" si="29"/>
        <v>Favourable</v>
      </c>
    </row>
    <row r="604" spans="1:10" x14ac:dyDescent="0.5">
      <c r="A604" t="s">
        <v>8</v>
      </c>
      <c r="B604" t="str">
        <f>CHOOSE(MATCH(A604,{"Jan","Feb","Mar","Apr","May","Jun","Jul","Aug","Sep","Oct","Nov","Dec"},0), "Q1","Q1","Q1", "Q2","Q2","Q2", "Q3","Q3","Q3", "Q4","Q4","Q4")</f>
        <v>Q1</v>
      </c>
      <c r="C604" t="s">
        <v>23</v>
      </c>
      <c r="D604" t="s">
        <v>58</v>
      </c>
      <c r="E604" t="s">
        <v>55</v>
      </c>
      <c r="F604" s="4">
        <v>9200</v>
      </c>
      <c r="G604" s="4">
        <v>9367</v>
      </c>
      <c r="H604" s="7">
        <f t="shared" si="27"/>
        <v>167</v>
      </c>
      <c r="I604" s="9">
        <f t="shared" si="28"/>
        <v>1.8152173913043478E-2</v>
      </c>
      <c r="J604" t="str">
        <f t="shared" si="29"/>
        <v>Unfavourable</v>
      </c>
    </row>
    <row r="605" spans="1:10" x14ac:dyDescent="0.5">
      <c r="A605" t="s">
        <v>9</v>
      </c>
      <c r="B605" t="str">
        <f>CHOOSE(MATCH(A605,{"Jan","Feb","Mar","Apr","May","Jun","Jul","Aug","Sep","Oct","Nov","Dec"},0), "Q1","Q1","Q1", "Q2","Q2","Q2", "Q3","Q3","Q3", "Q4","Q4","Q4")</f>
        <v>Q2</v>
      </c>
      <c r="C605" t="s">
        <v>23</v>
      </c>
      <c r="D605" t="s">
        <v>58</v>
      </c>
      <c r="E605" t="s">
        <v>55</v>
      </c>
      <c r="F605" s="4">
        <v>9500</v>
      </c>
      <c r="G605" s="4">
        <v>9916</v>
      </c>
      <c r="H605" s="7">
        <f t="shared" si="27"/>
        <v>416</v>
      </c>
      <c r="I605" s="9">
        <f t="shared" si="28"/>
        <v>4.3789473684210524E-2</v>
      </c>
      <c r="J605" t="str">
        <f t="shared" si="29"/>
        <v>Unfavourable</v>
      </c>
    </row>
    <row r="606" spans="1:10" x14ac:dyDescent="0.5">
      <c r="A606" t="s">
        <v>10</v>
      </c>
      <c r="B606" t="str">
        <f>CHOOSE(MATCH(A606,{"Jan","Feb","Mar","Apr","May","Jun","Jul","Aug","Sep","Oct","Nov","Dec"},0), "Q1","Q1","Q1", "Q2","Q2","Q2", "Q3","Q3","Q3", "Q4","Q4","Q4")</f>
        <v>Q2</v>
      </c>
      <c r="C606" t="s">
        <v>23</v>
      </c>
      <c r="D606" t="s">
        <v>58</v>
      </c>
      <c r="E606" t="s">
        <v>55</v>
      </c>
      <c r="F606" s="4">
        <v>10000</v>
      </c>
      <c r="G606" s="4">
        <v>10028</v>
      </c>
      <c r="H606" s="7">
        <f t="shared" si="27"/>
        <v>28</v>
      </c>
      <c r="I606" s="9">
        <f t="shared" si="28"/>
        <v>2.8E-3</v>
      </c>
      <c r="J606" t="str">
        <f t="shared" si="29"/>
        <v>Unfavourable</v>
      </c>
    </row>
    <row r="607" spans="1:10" x14ac:dyDescent="0.5">
      <c r="A607" t="s">
        <v>11</v>
      </c>
      <c r="B607" t="str">
        <f>CHOOSE(MATCH(A607,{"Jan","Feb","Mar","Apr","May","Jun","Jul","Aug","Sep","Oct","Nov","Dec"},0), "Q1","Q1","Q1", "Q2","Q2","Q2", "Q3","Q3","Q3", "Q4","Q4","Q4")</f>
        <v>Q2</v>
      </c>
      <c r="C607" t="s">
        <v>23</v>
      </c>
      <c r="D607" t="s">
        <v>58</v>
      </c>
      <c r="E607" t="s">
        <v>55</v>
      </c>
      <c r="F607" s="4">
        <v>10200</v>
      </c>
      <c r="G607" s="4">
        <v>9486</v>
      </c>
      <c r="H607" s="7">
        <f t="shared" si="27"/>
        <v>-714</v>
      </c>
      <c r="I607" s="9">
        <f t="shared" si="28"/>
        <v>-7.0000000000000007E-2</v>
      </c>
      <c r="J607" t="str">
        <f t="shared" si="29"/>
        <v>Favourable</v>
      </c>
    </row>
    <row r="608" spans="1:10" x14ac:dyDescent="0.5">
      <c r="A608" t="s">
        <v>12</v>
      </c>
      <c r="B608" t="str">
        <f>CHOOSE(MATCH(A608,{"Jan","Feb","Mar","Apr","May","Jun","Jul","Aug","Sep","Oct","Nov","Dec"},0), "Q1","Q1","Q1", "Q2","Q2","Q2", "Q3","Q3","Q3", "Q4","Q4","Q4")</f>
        <v>Q3</v>
      </c>
      <c r="C608" t="s">
        <v>23</v>
      </c>
      <c r="D608" t="s">
        <v>58</v>
      </c>
      <c r="E608" t="s">
        <v>55</v>
      </c>
      <c r="F608" s="4">
        <v>8800</v>
      </c>
      <c r="G608" s="4">
        <v>9171</v>
      </c>
      <c r="H608" s="7">
        <f t="shared" si="27"/>
        <v>371</v>
      </c>
      <c r="I608" s="9">
        <f t="shared" si="28"/>
        <v>4.215909090909091E-2</v>
      </c>
      <c r="J608" t="str">
        <f t="shared" si="29"/>
        <v>Unfavourable</v>
      </c>
    </row>
    <row r="609" spans="1:10" x14ac:dyDescent="0.5">
      <c r="A609" t="s">
        <v>13</v>
      </c>
      <c r="B609" t="str">
        <f>CHOOSE(MATCH(A609,{"Jan","Feb","Mar","Apr","May","Jun","Jul","Aug","Sep","Oct","Nov","Dec"},0), "Q1","Q1","Q1", "Q2","Q2","Q2", "Q3","Q3","Q3", "Q4","Q4","Q4")</f>
        <v>Q3</v>
      </c>
      <c r="C609" t="s">
        <v>23</v>
      </c>
      <c r="D609" t="s">
        <v>58</v>
      </c>
      <c r="E609" t="s">
        <v>55</v>
      </c>
      <c r="F609" s="4">
        <v>8500</v>
      </c>
      <c r="G609" s="4">
        <v>8554</v>
      </c>
      <c r="H609" s="7">
        <f t="shared" si="27"/>
        <v>54</v>
      </c>
      <c r="I609" s="9">
        <f t="shared" si="28"/>
        <v>6.3529411764705881E-3</v>
      </c>
      <c r="J609" t="str">
        <f t="shared" si="29"/>
        <v>Unfavourable</v>
      </c>
    </row>
    <row r="610" spans="1:10" x14ac:dyDescent="0.5">
      <c r="A610" t="s">
        <v>14</v>
      </c>
      <c r="B610" t="str">
        <f>CHOOSE(MATCH(A610,{"Jan","Feb","Mar","Apr","May","Jun","Jul","Aug","Sep","Oct","Nov","Dec"},0), "Q1","Q1","Q1", "Q2","Q2","Q2", "Q3","Q3","Q3", "Q4","Q4","Q4")</f>
        <v>Q3</v>
      </c>
      <c r="C610" t="s">
        <v>23</v>
      </c>
      <c r="D610" t="s">
        <v>58</v>
      </c>
      <c r="E610" t="s">
        <v>55</v>
      </c>
      <c r="F610" s="4">
        <v>10000</v>
      </c>
      <c r="G610" s="4">
        <v>9308</v>
      </c>
      <c r="H610" s="7">
        <f t="shared" si="27"/>
        <v>-692</v>
      </c>
      <c r="I610" s="9">
        <f t="shared" si="28"/>
        <v>-6.9199999999999998E-2</v>
      </c>
      <c r="J610" t="str">
        <f t="shared" si="29"/>
        <v>Favourable</v>
      </c>
    </row>
    <row r="611" spans="1:10" x14ac:dyDescent="0.5">
      <c r="A611" t="s">
        <v>15</v>
      </c>
      <c r="B611" t="str">
        <f>CHOOSE(MATCH(A611,{"Jan","Feb","Mar","Apr","May","Jun","Jul","Aug","Sep","Oct","Nov","Dec"},0), "Q1","Q1","Q1", "Q2","Q2","Q2", "Q3","Q3","Q3", "Q4","Q4","Q4")</f>
        <v>Q4</v>
      </c>
      <c r="C611" t="s">
        <v>23</v>
      </c>
      <c r="D611" t="s">
        <v>58</v>
      </c>
      <c r="E611" t="s">
        <v>55</v>
      </c>
      <c r="F611" s="4">
        <v>10500</v>
      </c>
      <c r="G611" s="4">
        <v>10554</v>
      </c>
      <c r="H611" s="7">
        <f t="shared" si="27"/>
        <v>54</v>
      </c>
      <c r="I611" s="9">
        <f t="shared" si="28"/>
        <v>5.1428571428571426E-3</v>
      </c>
      <c r="J611" t="str">
        <f t="shared" si="29"/>
        <v>Unfavourable</v>
      </c>
    </row>
    <row r="612" spans="1:10" x14ac:dyDescent="0.5">
      <c r="A612" t="s">
        <v>16</v>
      </c>
      <c r="B612" t="str">
        <f>CHOOSE(MATCH(A612,{"Jan","Feb","Mar","Apr","May","Jun","Jul","Aug","Sep","Oct","Nov","Dec"},0), "Q1","Q1","Q1", "Q2","Q2","Q2", "Q3","Q3","Q3", "Q4","Q4","Q4")</f>
        <v>Q4</v>
      </c>
      <c r="C612" t="s">
        <v>23</v>
      </c>
      <c r="D612" t="s">
        <v>58</v>
      </c>
      <c r="E612" t="s">
        <v>55</v>
      </c>
      <c r="F612" s="4">
        <v>10800</v>
      </c>
      <c r="G612" s="4">
        <v>10458</v>
      </c>
      <c r="H612" s="7">
        <f t="shared" si="27"/>
        <v>-342</v>
      </c>
      <c r="I612" s="9">
        <f t="shared" si="28"/>
        <v>-3.1666666666666669E-2</v>
      </c>
      <c r="J612" t="str">
        <f t="shared" si="29"/>
        <v>Favourable</v>
      </c>
    </row>
    <row r="613" spans="1:10" x14ac:dyDescent="0.5">
      <c r="A613" t="s">
        <v>17</v>
      </c>
      <c r="B613" t="str">
        <f>CHOOSE(MATCH(A613,{"Jan","Feb","Mar","Apr","May","Jun","Jul","Aug","Sep","Oct","Nov","Dec"},0), "Q1","Q1","Q1", "Q2","Q2","Q2", "Q3","Q3","Q3", "Q4","Q4","Q4")</f>
        <v>Q4</v>
      </c>
      <c r="C613" t="s">
        <v>23</v>
      </c>
      <c r="D613" t="s">
        <v>58</v>
      </c>
      <c r="E613" t="s">
        <v>55</v>
      </c>
      <c r="F613" s="4">
        <v>15800</v>
      </c>
      <c r="G613" s="4">
        <v>16896</v>
      </c>
      <c r="H613" s="7">
        <f t="shared" si="27"/>
        <v>1096</v>
      </c>
      <c r="I613" s="9">
        <f t="shared" si="28"/>
        <v>6.936708860759494E-2</v>
      </c>
      <c r="J613" t="str">
        <f t="shared" si="29"/>
        <v>Unfavourable</v>
      </c>
    </row>
    <row r="614" spans="1:10" x14ac:dyDescent="0.5">
      <c r="A614" t="s">
        <v>4</v>
      </c>
      <c r="B614" t="str">
        <f>CHOOSE(MATCH(A614,{"Jan","Feb","Mar","Apr","May","Jun","Jul","Aug","Sep","Oct","Nov","Dec"},0), "Q1","Q1","Q1", "Q2","Q2","Q2", "Q3","Q3","Q3", "Q4","Q4","Q4")</f>
        <v>Q1</v>
      </c>
      <c r="C614" t="s">
        <v>23</v>
      </c>
      <c r="D614" t="s">
        <v>59</v>
      </c>
      <c r="E614" t="s">
        <v>55</v>
      </c>
      <c r="F614" s="4">
        <v>10625</v>
      </c>
      <c r="G614" s="4">
        <v>11658</v>
      </c>
      <c r="H614" s="7">
        <f t="shared" si="27"/>
        <v>1033</v>
      </c>
      <c r="I614" s="9">
        <f t="shared" si="28"/>
        <v>9.7223529411764709E-2</v>
      </c>
      <c r="J614" t="str">
        <f t="shared" si="29"/>
        <v>Unfavourable</v>
      </c>
    </row>
    <row r="615" spans="1:10" x14ac:dyDescent="0.5">
      <c r="A615" t="s">
        <v>7</v>
      </c>
      <c r="B615" t="str">
        <f>CHOOSE(MATCH(A615,{"Jan","Feb","Mar","Apr","May","Jun","Jul","Aug","Sep","Oct","Nov","Dec"},0), "Q1","Q1","Q1", "Q2","Q2","Q2", "Q3","Q3","Q3", "Q4","Q4","Q4")</f>
        <v>Q1</v>
      </c>
      <c r="C615" t="s">
        <v>23</v>
      </c>
      <c r="D615" t="s">
        <v>59</v>
      </c>
      <c r="E615" t="s">
        <v>55</v>
      </c>
      <c r="F615" s="4">
        <v>10250</v>
      </c>
      <c r="G615" s="4">
        <v>11203</v>
      </c>
      <c r="H615" s="7">
        <f t="shared" si="27"/>
        <v>953</v>
      </c>
      <c r="I615" s="9">
        <f t="shared" si="28"/>
        <v>9.297560975609756E-2</v>
      </c>
      <c r="J615" t="str">
        <f t="shared" si="29"/>
        <v>Unfavourable</v>
      </c>
    </row>
    <row r="616" spans="1:10" x14ac:dyDescent="0.5">
      <c r="A616" t="s">
        <v>8</v>
      </c>
      <c r="B616" t="str">
        <f>CHOOSE(MATCH(A616,{"Jan","Feb","Mar","Apr","May","Jun","Jul","Aug","Sep","Oct","Nov","Dec"},0), "Q1","Q1","Q1", "Q2","Q2","Q2", "Q3","Q3","Q3", "Q4","Q4","Q4")</f>
        <v>Q1</v>
      </c>
      <c r="C616" t="s">
        <v>23</v>
      </c>
      <c r="D616" t="s">
        <v>59</v>
      </c>
      <c r="E616" t="s">
        <v>55</v>
      </c>
      <c r="F616" s="4">
        <v>11500</v>
      </c>
      <c r="G616" s="4">
        <v>11170</v>
      </c>
      <c r="H616" s="7">
        <f t="shared" si="27"/>
        <v>-330</v>
      </c>
      <c r="I616" s="9">
        <f t="shared" si="28"/>
        <v>-2.8695652173913042E-2</v>
      </c>
      <c r="J616" t="str">
        <f t="shared" si="29"/>
        <v>Favourable</v>
      </c>
    </row>
    <row r="617" spans="1:10" x14ac:dyDescent="0.5">
      <c r="A617" t="s">
        <v>9</v>
      </c>
      <c r="B617" t="str">
        <f>CHOOSE(MATCH(A617,{"Jan","Feb","Mar","Apr","May","Jun","Jul","Aug","Sep","Oct","Nov","Dec"},0), "Q1","Q1","Q1", "Q2","Q2","Q2", "Q3","Q3","Q3", "Q4","Q4","Q4")</f>
        <v>Q2</v>
      </c>
      <c r="C617" t="s">
        <v>23</v>
      </c>
      <c r="D617" t="s">
        <v>59</v>
      </c>
      <c r="E617" t="s">
        <v>55</v>
      </c>
      <c r="F617" s="4">
        <v>11875</v>
      </c>
      <c r="G617" s="4">
        <v>11597</v>
      </c>
      <c r="H617" s="7">
        <f t="shared" si="27"/>
        <v>-278</v>
      </c>
      <c r="I617" s="9">
        <f t="shared" si="28"/>
        <v>-2.3410526315789475E-2</v>
      </c>
      <c r="J617" t="str">
        <f t="shared" si="29"/>
        <v>Favourable</v>
      </c>
    </row>
    <row r="618" spans="1:10" x14ac:dyDescent="0.5">
      <c r="A618" t="s">
        <v>10</v>
      </c>
      <c r="B618" t="str">
        <f>CHOOSE(MATCH(A618,{"Jan","Feb","Mar","Apr","May","Jun","Jul","Aug","Sep","Oct","Nov","Dec"},0), "Q1","Q1","Q1", "Q2","Q2","Q2", "Q3","Q3","Q3", "Q4","Q4","Q4")</f>
        <v>Q2</v>
      </c>
      <c r="C618" t="s">
        <v>23</v>
      </c>
      <c r="D618" t="s">
        <v>59</v>
      </c>
      <c r="E618" t="s">
        <v>55</v>
      </c>
      <c r="F618" s="4">
        <v>12500</v>
      </c>
      <c r="G618" s="4">
        <v>12930</v>
      </c>
      <c r="H618" s="7">
        <f t="shared" si="27"/>
        <v>430</v>
      </c>
      <c r="I618" s="9">
        <f t="shared" si="28"/>
        <v>3.44E-2</v>
      </c>
      <c r="J618" t="str">
        <f t="shared" si="29"/>
        <v>Unfavourable</v>
      </c>
    </row>
    <row r="619" spans="1:10" x14ac:dyDescent="0.5">
      <c r="A619" t="s">
        <v>11</v>
      </c>
      <c r="B619" t="str">
        <f>CHOOSE(MATCH(A619,{"Jan","Feb","Mar","Apr","May","Jun","Jul","Aug","Sep","Oct","Nov","Dec"},0), "Q1","Q1","Q1", "Q2","Q2","Q2", "Q3","Q3","Q3", "Q4","Q4","Q4")</f>
        <v>Q2</v>
      </c>
      <c r="C619" t="s">
        <v>23</v>
      </c>
      <c r="D619" t="s">
        <v>59</v>
      </c>
      <c r="E619" t="s">
        <v>55</v>
      </c>
      <c r="F619" s="4">
        <v>12750</v>
      </c>
      <c r="G619" s="4">
        <v>13427</v>
      </c>
      <c r="H619" s="7">
        <f t="shared" si="27"/>
        <v>677</v>
      </c>
      <c r="I619" s="9">
        <f t="shared" si="28"/>
        <v>5.3098039215686274E-2</v>
      </c>
      <c r="J619" t="str">
        <f t="shared" si="29"/>
        <v>Unfavourable</v>
      </c>
    </row>
    <row r="620" spans="1:10" x14ac:dyDescent="0.5">
      <c r="A620" t="s">
        <v>12</v>
      </c>
      <c r="B620" t="str">
        <f>CHOOSE(MATCH(A620,{"Jan","Feb","Mar","Apr","May","Jun","Jul","Aug","Sep","Oct","Nov","Dec"},0), "Q1","Q1","Q1", "Q2","Q2","Q2", "Q3","Q3","Q3", "Q4","Q4","Q4")</f>
        <v>Q3</v>
      </c>
      <c r="C620" t="s">
        <v>23</v>
      </c>
      <c r="D620" t="s">
        <v>59</v>
      </c>
      <c r="E620" t="s">
        <v>55</v>
      </c>
      <c r="F620" s="4">
        <v>11000</v>
      </c>
      <c r="G620" s="4">
        <v>11210</v>
      </c>
      <c r="H620" s="7">
        <f t="shared" si="27"/>
        <v>210</v>
      </c>
      <c r="I620" s="9">
        <f t="shared" si="28"/>
        <v>1.9090909090909092E-2</v>
      </c>
      <c r="J620" t="str">
        <f t="shared" si="29"/>
        <v>Unfavourable</v>
      </c>
    </row>
    <row r="621" spans="1:10" x14ac:dyDescent="0.5">
      <c r="A621" t="s">
        <v>13</v>
      </c>
      <c r="B621" t="str">
        <f>CHOOSE(MATCH(A621,{"Jan","Feb","Mar","Apr","May","Jun","Jul","Aug","Sep","Oct","Nov","Dec"},0), "Q1","Q1","Q1", "Q2","Q2","Q2", "Q3","Q3","Q3", "Q4","Q4","Q4")</f>
        <v>Q3</v>
      </c>
      <c r="C621" t="s">
        <v>23</v>
      </c>
      <c r="D621" t="s">
        <v>59</v>
      </c>
      <c r="E621" t="s">
        <v>55</v>
      </c>
      <c r="F621" s="4">
        <v>10625</v>
      </c>
      <c r="G621" s="4">
        <v>10974</v>
      </c>
      <c r="H621" s="7">
        <f t="shared" si="27"/>
        <v>349</v>
      </c>
      <c r="I621" s="9">
        <f t="shared" si="28"/>
        <v>3.284705882352941E-2</v>
      </c>
      <c r="J621" t="str">
        <f t="shared" si="29"/>
        <v>Unfavourable</v>
      </c>
    </row>
    <row r="622" spans="1:10" x14ac:dyDescent="0.5">
      <c r="A622" t="s">
        <v>14</v>
      </c>
      <c r="B622" t="str">
        <f>CHOOSE(MATCH(A622,{"Jan","Feb","Mar","Apr","May","Jun","Jul","Aug","Sep","Oct","Nov","Dec"},0), "Q1","Q1","Q1", "Q2","Q2","Q2", "Q3","Q3","Q3", "Q4","Q4","Q4")</f>
        <v>Q3</v>
      </c>
      <c r="C622" t="s">
        <v>23</v>
      </c>
      <c r="D622" t="s">
        <v>59</v>
      </c>
      <c r="E622" t="s">
        <v>55</v>
      </c>
      <c r="F622" s="4">
        <v>12500</v>
      </c>
      <c r="G622" s="4">
        <v>14379</v>
      </c>
      <c r="H622" s="7">
        <f t="shared" si="27"/>
        <v>1879</v>
      </c>
      <c r="I622" s="9">
        <f t="shared" si="28"/>
        <v>0.15032000000000001</v>
      </c>
      <c r="J622" t="str">
        <f t="shared" si="29"/>
        <v>Unfavourable</v>
      </c>
    </row>
    <row r="623" spans="1:10" x14ac:dyDescent="0.5">
      <c r="A623" t="s">
        <v>15</v>
      </c>
      <c r="B623" t="str">
        <f>CHOOSE(MATCH(A623,{"Jan","Feb","Mar","Apr","May","Jun","Jul","Aug","Sep","Oct","Nov","Dec"},0), "Q1","Q1","Q1", "Q2","Q2","Q2", "Q3","Q3","Q3", "Q4","Q4","Q4")</f>
        <v>Q4</v>
      </c>
      <c r="C623" t="s">
        <v>23</v>
      </c>
      <c r="D623" t="s">
        <v>59</v>
      </c>
      <c r="E623" t="s">
        <v>55</v>
      </c>
      <c r="F623" s="4">
        <v>13125</v>
      </c>
      <c r="G623" s="4">
        <v>13579</v>
      </c>
      <c r="H623" s="7">
        <f t="shared" si="27"/>
        <v>454</v>
      </c>
      <c r="I623" s="9">
        <f t="shared" si="28"/>
        <v>3.4590476190476192E-2</v>
      </c>
      <c r="J623" t="str">
        <f t="shared" si="29"/>
        <v>Unfavourable</v>
      </c>
    </row>
    <row r="624" spans="1:10" x14ac:dyDescent="0.5">
      <c r="A624" t="s">
        <v>16</v>
      </c>
      <c r="B624" t="str">
        <f>CHOOSE(MATCH(A624,{"Jan","Feb","Mar","Apr","May","Jun","Jul","Aug","Sep","Oct","Nov","Dec"},0), "Q1","Q1","Q1", "Q2","Q2","Q2", "Q3","Q3","Q3", "Q4","Q4","Q4")</f>
        <v>Q4</v>
      </c>
      <c r="C624" t="s">
        <v>23</v>
      </c>
      <c r="D624" t="s">
        <v>59</v>
      </c>
      <c r="E624" t="s">
        <v>55</v>
      </c>
      <c r="F624" s="4">
        <v>13500</v>
      </c>
      <c r="G624" s="4">
        <v>13712</v>
      </c>
      <c r="H624" s="7">
        <f t="shared" si="27"/>
        <v>212</v>
      </c>
      <c r="I624" s="9">
        <f t="shared" si="28"/>
        <v>1.5703703703703702E-2</v>
      </c>
      <c r="J624" t="str">
        <f t="shared" si="29"/>
        <v>Unfavourable</v>
      </c>
    </row>
    <row r="625" spans="1:10" x14ac:dyDescent="0.5">
      <c r="A625" t="s">
        <v>17</v>
      </c>
      <c r="B625" t="str">
        <f>CHOOSE(MATCH(A625,{"Jan","Feb","Mar","Apr","May","Jun","Jul","Aug","Sep","Oct","Nov","Dec"},0), "Q1","Q1","Q1", "Q2","Q2","Q2", "Q3","Q3","Q3", "Q4","Q4","Q4")</f>
        <v>Q4</v>
      </c>
      <c r="C625" t="s">
        <v>23</v>
      </c>
      <c r="D625" t="s">
        <v>59</v>
      </c>
      <c r="E625" t="s">
        <v>55</v>
      </c>
      <c r="F625" s="4">
        <v>19750</v>
      </c>
      <c r="G625" s="4">
        <v>20658</v>
      </c>
      <c r="H625" s="7">
        <f t="shared" si="27"/>
        <v>908</v>
      </c>
      <c r="I625" s="9">
        <f t="shared" si="28"/>
        <v>4.5974683544303799E-2</v>
      </c>
      <c r="J625" t="str">
        <f t="shared" si="29"/>
        <v>Unfavourable</v>
      </c>
    </row>
    <row r="626" spans="1:10" x14ac:dyDescent="0.5">
      <c r="A626" t="s">
        <v>4</v>
      </c>
      <c r="B626" t="str">
        <f>CHOOSE(MATCH(A626,{"Jan","Feb","Mar","Apr","May","Jun","Jul","Aug","Sep","Oct","Nov","Dec"},0), "Q1","Q1","Q1", "Q2","Q2","Q2", "Q3","Q3","Q3", "Q4","Q4","Q4")</f>
        <v>Q1</v>
      </c>
      <c r="C626" t="s">
        <v>23</v>
      </c>
      <c r="D626" t="s">
        <v>32</v>
      </c>
      <c r="E626" t="s">
        <v>55</v>
      </c>
      <c r="F626" s="4">
        <v>1771</v>
      </c>
      <c r="G626" s="4">
        <v>1554</v>
      </c>
      <c r="H626" s="7">
        <f t="shared" si="27"/>
        <v>-217</v>
      </c>
      <c r="I626" s="9">
        <f t="shared" si="28"/>
        <v>-0.1225296442687747</v>
      </c>
      <c r="J626" t="str">
        <f t="shared" si="29"/>
        <v>Favourable</v>
      </c>
    </row>
    <row r="627" spans="1:10" x14ac:dyDescent="0.5">
      <c r="A627" t="s">
        <v>7</v>
      </c>
      <c r="B627" t="str">
        <f>CHOOSE(MATCH(A627,{"Jan","Feb","Mar","Apr","May","Jun","Jul","Aug","Sep","Oct","Nov","Dec"},0), "Q1","Q1","Q1", "Q2","Q2","Q2", "Q3","Q3","Q3", "Q4","Q4","Q4")</f>
        <v>Q1</v>
      </c>
      <c r="C627" t="s">
        <v>23</v>
      </c>
      <c r="D627" t="s">
        <v>32</v>
      </c>
      <c r="E627" t="s">
        <v>55</v>
      </c>
      <c r="F627" s="4">
        <v>1708</v>
      </c>
      <c r="G627" s="4">
        <v>1469</v>
      </c>
      <c r="H627" s="7">
        <f t="shared" si="27"/>
        <v>-239</v>
      </c>
      <c r="I627" s="9">
        <f t="shared" si="28"/>
        <v>-0.13992974238875877</v>
      </c>
      <c r="J627" t="str">
        <f t="shared" si="29"/>
        <v>Favourable</v>
      </c>
    </row>
    <row r="628" spans="1:10" x14ac:dyDescent="0.5">
      <c r="A628" t="s">
        <v>8</v>
      </c>
      <c r="B628" t="str">
        <f>CHOOSE(MATCH(A628,{"Jan","Feb","Mar","Apr","May","Jun","Jul","Aug","Sep","Oct","Nov","Dec"},0), "Q1","Q1","Q1", "Q2","Q2","Q2", "Q3","Q3","Q3", "Q4","Q4","Q4")</f>
        <v>Q1</v>
      </c>
      <c r="C628" t="s">
        <v>23</v>
      </c>
      <c r="D628" t="s">
        <v>32</v>
      </c>
      <c r="E628" t="s">
        <v>55</v>
      </c>
      <c r="F628" s="4">
        <v>1917</v>
      </c>
      <c r="G628" s="4">
        <v>2349</v>
      </c>
      <c r="H628" s="7">
        <f t="shared" si="27"/>
        <v>432</v>
      </c>
      <c r="I628" s="9">
        <f t="shared" si="28"/>
        <v>0.22535211267605634</v>
      </c>
      <c r="J628" t="str">
        <f t="shared" si="29"/>
        <v>Unfavourable</v>
      </c>
    </row>
    <row r="629" spans="1:10" x14ac:dyDescent="0.5">
      <c r="A629" t="s">
        <v>9</v>
      </c>
      <c r="B629" t="str">
        <f>CHOOSE(MATCH(A629,{"Jan","Feb","Mar","Apr","May","Jun","Jul","Aug","Sep","Oct","Nov","Dec"},0), "Q1","Q1","Q1", "Q2","Q2","Q2", "Q3","Q3","Q3", "Q4","Q4","Q4")</f>
        <v>Q2</v>
      </c>
      <c r="C629" t="s">
        <v>23</v>
      </c>
      <c r="D629" t="s">
        <v>32</v>
      </c>
      <c r="E629" t="s">
        <v>55</v>
      </c>
      <c r="F629" s="4">
        <v>1979</v>
      </c>
      <c r="G629" s="4">
        <v>1957</v>
      </c>
      <c r="H629" s="7">
        <f t="shared" si="27"/>
        <v>-22</v>
      </c>
      <c r="I629" s="9">
        <f t="shared" si="28"/>
        <v>-1.1116725618999495E-2</v>
      </c>
      <c r="J629" t="str">
        <f t="shared" si="29"/>
        <v>Favourable</v>
      </c>
    </row>
    <row r="630" spans="1:10" x14ac:dyDescent="0.5">
      <c r="A630" t="s">
        <v>10</v>
      </c>
      <c r="B630" t="str">
        <f>CHOOSE(MATCH(A630,{"Jan","Feb","Mar","Apr","May","Jun","Jul","Aug","Sep","Oct","Nov","Dec"},0), "Q1","Q1","Q1", "Q2","Q2","Q2", "Q3","Q3","Q3", "Q4","Q4","Q4")</f>
        <v>Q2</v>
      </c>
      <c r="C630" t="s">
        <v>23</v>
      </c>
      <c r="D630" t="s">
        <v>32</v>
      </c>
      <c r="E630" t="s">
        <v>55</v>
      </c>
      <c r="F630" s="4">
        <v>2083</v>
      </c>
      <c r="G630" s="4">
        <v>2005</v>
      </c>
      <c r="H630" s="7">
        <f t="shared" si="27"/>
        <v>-78</v>
      </c>
      <c r="I630" s="9">
        <f t="shared" si="28"/>
        <v>-3.7445991358617377E-2</v>
      </c>
      <c r="J630" t="str">
        <f t="shared" si="29"/>
        <v>Favourable</v>
      </c>
    </row>
    <row r="631" spans="1:10" x14ac:dyDescent="0.5">
      <c r="A631" t="s">
        <v>11</v>
      </c>
      <c r="B631" t="str">
        <f>CHOOSE(MATCH(A631,{"Jan","Feb","Mar","Apr","May","Jun","Jul","Aug","Sep","Oct","Nov","Dec"},0), "Q1","Q1","Q1", "Q2","Q2","Q2", "Q3","Q3","Q3", "Q4","Q4","Q4")</f>
        <v>Q2</v>
      </c>
      <c r="C631" t="s">
        <v>23</v>
      </c>
      <c r="D631" t="s">
        <v>32</v>
      </c>
      <c r="E631" t="s">
        <v>55</v>
      </c>
      <c r="F631" s="4">
        <v>2125</v>
      </c>
      <c r="G631" s="4">
        <v>1982</v>
      </c>
      <c r="H631" s="7">
        <f t="shared" si="27"/>
        <v>-143</v>
      </c>
      <c r="I631" s="9">
        <f t="shared" si="28"/>
        <v>-6.7294117647058824E-2</v>
      </c>
      <c r="J631" t="str">
        <f t="shared" si="29"/>
        <v>Favourable</v>
      </c>
    </row>
    <row r="632" spans="1:10" x14ac:dyDescent="0.5">
      <c r="A632" t="s">
        <v>12</v>
      </c>
      <c r="B632" t="str">
        <f>CHOOSE(MATCH(A632,{"Jan","Feb","Mar","Apr","May","Jun","Jul","Aug","Sep","Oct","Nov","Dec"},0), "Q1","Q1","Q1", "Q2","Q2","Q2", "Q3","Q3","Q3", "Q4","Q4","Q4")</f>
        <v>Q3</v>
      </c>
      <c r="C632" t="s">
        <v>23</v>
      </c>
      <c r="D632" t="s">
        <v>32</v>
      </c>
      <c r="E632" t="s">
        <v>55</v>
      </c>
      <c r="F632" s="4">
        <v>1833</v>
      </c>
      <c r="G632" s="4">
        <v>1531</v>
      </c>
      <c r="H632" s="7">
        <f t="shared" si="27"/>
        <v>-302</v>
      </c>
      <c r="I632" s="9">
        <f t="shared" si="28"/>
        <v>-0.16475722858701583</v>
      </c>
      <c r="J632" t="str">
        <f t="shared" si="29"/>
        <v>Favourable</v>
      </c>
    </row>
    <row r="633" spans="1:10" x14ac:dyDescent="0.5">
      <c r="A633" t="s">
        <v>13</v>
      </c>
      <c r="B633" t="str">
        <f>CHOOSE(MATCH(A633,{"Jan","Feb","Mar","Apr","May","Jun","Jul","Aug","Sep","Oct","Nov","Dec"},0), "Q1","Q1","Q1", "Q2","Q2","Q2", "Q3","Q3","Q3", "Q4","Q4","Q4")</f>
        <v>Q3</v>
      </c>
      <c r="C633" t="s">
        <v>23</v>
      </c>
      <c r="D633" t="s">
        <v>32</v>
      </c>
      <c r="E633" t="s">
        <v>55</v>
      </c>
      <c r="F633" s="4">
        <v>1771</v>
      </c>
      <c r="G633" s="4">
        <v>2141</v>
      </c>
      <c r="H633" s="7">
        <f t="shared" si="27"/>
        <v>370</v>
      </c>
      <c r="I633" s="9">
        <f t="shared" si="28"/>
        <v>0.20892151326933936</v>
      </c>
      <c r="J633" t="str">
        <f t="shared" si="29"/>
        <v>Unfavourable</v>
      </c>
    </row>
    <row r="634" spans="1:10" x14ac:dyDescent="0.5">
      <c r="A634" t="s">
        <v>14</v>
      </c>
      <c r="B634" t="str">
        <f>CHOOSE(MATCH(A634,{"Jan","Feb","Mar","Apr","May","Jun","Jul","Aug","Sep","Oct","Nov","Dec"},0), "Q1","Q1","Q1", "Q2","Q2","Q2", "Q3","Q3","Q3", "Q4","Q4","Q4")</f>
        <v>Q3</v>
      </c>
      <c r="C634" t="s">
        <v>23</v>
      </c>
      <c r="D634" t="s">
        <v>32</v>
      </c>
      <c r="E634" t="s">
        <v>55</v>
      </c>
      <c r="F634" s="4">
        <v>2083</v>
      </c>
      <c r="G634" s="4">
        <v>2380</v>
      </c>
      <c r="H634" s="7">
        <f t="shared" si="27"/>
        <v>297</v>
      </c>
      <c r="I634" s="9">
        <f t="shared" si="28"/>
        <v>0.14258281325012001</v>
      </c>
      <c r="J634" t="str">
        <f t="shared" si="29"/>
        <v>Unfavourable</v>
      </c>
    </row>
    <row r="635" spans="1:10" x14ac:dyDescent="0.5">
      <c r="A635" t="s">
        <v>15</v>
      </c>
      <c r="B635" t="str">
        <f>CHOOSE(MATCH(A635,{"Jan","Feb","Mar","Apr","May","Jun","Jul","Aug","Sep","Oct","Nov","Dec"},0), "Q1","Q1","Q1", "Q2","Q2","Q2", "Q3","Q3","Q3", "Q4","Q4","Q4")</f>
        <v>Q4</v>
      </c>
      <c r="C635" t="s">
        <v>23</v>
      </c>
      <c r="D635" t="s">
        <v>32</v>
      </c>
      <c r="E635" t="s">
        <v>55</v>
      </c>
      <c r="F635" s="4">
        <v>2188</v>
      </c>
      <c r="G635" s="4">
        <v>2164</v>
      </c>
      <c r="H635" s="7">
        <f t="shared" si="27"/>
        <v>-24</v>
      </c>
      <c r="I635" s="9">
        <f t="shared" si="28"/>
        <v>-1.0968921389396709E-2</v>
      </c>
      <c r="J635" t="str">
        <f t="shared" si="29"/>
        <v>Favourable</v>
      </c>
    </row>
    <row r="636" spans="1:10" x14ac:dyDescent="0.5">
      <c r="A636" t="s">
        <v>16</v>
      </c>
      <c r="B636" t="str">
        <f>CHOOSE(MATCH(A636,{"Jan","Feb","Mar","Apr","May","Jun","Jul","Aug","Sep","Oct","Nov","Dec"},0), "Q1","Q1","Q1", "Q2","Q2","Q2", "Q3","Q3","Q3", "Q4","Q4","Q4")</f>
        <v>Q4</v>
      </c>
      <c r="C636" t="s">
        <v>23</v>
      </c>
      <c r="D636" t="s">
        <v>32</v>
      </c>
      <c r="E636" t="s">
        <v>55</v>
      </c>
      <c r="F636" s="4">
        <v>2250</v>
      </c>
      <c r="G636" s="4">
        <v>2473</v>
      </c>
      <c r="H636" s="7">
        <f t="shared" si="27"/>
        <v>223</v>
      </c>
      <c r="I636" s="9">
        <f t="shared" si="28"/>
        <v>9.9111111111111108E-2</v>
      </c>
      <c r="J636" t="str">
        <f t="shared" si="29"/>
        <v>Unfavourable</v>
      </c>
    </row>
    <row r="637" spans="1:10" x14ac:dyDescent="0.5">
      <c r="A637" t="s">
        <v>17</v>
      </c>
      <c r="B637" t="str">
        <f>CHOOSE(MATCH(A637,{"Jan","Feb","Mar","Apr","May","Jun","Jul","Aug","Sep","Oct","Nov","Dec"},0), "Q1","Q1","Q1", "Q2","Q2","Q2", "Q3","Q3","Q3", "Q4","Q4","Q4")</f>
        <v>Q4</v>
      </c>
      <c r="C637" t="s">
        <v>23</v>
      </c>
      <c r="D637" t="s">
        <v>32</v>
      </c>
      <c r="E637" t="s">
        <v>55</v>
      </c>
      <c r="F637" s="4">
        <v>3292</v>
      </c>
      <c r="G637" s="4">
        <v>2534</v>
      </c>
      <c r="H637" s="7">
        <f t="shared" si="27"/>
        <v>-758</v>
      </c>
      <c r="I637" s="9">
        <f t="shared" si="28"/>
        <v>-0.23025516403402188</v>
      </c>
      <c r="J637" t="str">
        <f t="shared" si="29"/>
        <v>Favourable</v>
      </c>
    </row>
    <row r="638" spans="1:10" x14ac:dyDescent="0.5">
      <c r="A638" t="s">
        <v>4</v>
      </c>
      <c r="B638" t="str">
        <f>CHOOSE(MATCH(A638,{"Jan","Feb","Mar","Apr","May","Jun","Jul","Aug","Sep","Oct","Nov","Dec"},0), "Q1","Q1","Q1", "Q2","Q2","Q2", "Q3","Q3","Q3", "Q4","Q4","Q4")</f>
        <v>Q1</v>
      </c>
      <c r="C638" t="s">
        <v>23</v>
      </c>
      <c r="D638" t="s">
        <v>25</v>
      </c>
      <c r="E638" t="s">
        <v>60</v>
      </c>
      <c r="F638" s="4">
        <v>41083</v>
      </c>
      <c r="G638" s="4">
        <v>41098</v>
      </c>
      <c r="H638" s="7">
        <f t="shared" si="27"/>
        <v>15</v>
      </c>
      <c r="I638" s="9">
        <f t="shared" si="28"/>
        <v>3.651145242557749E-4</v>
      </c>
      <c r="J638" t="str">
        <f t="shared" si="29"/>
        <v>Unfavourable</v>
      </c>
    </row>
    <row r="639" spans="1:10" x14ac:dyDescent="0.5">
      <c r="A639" t="s">
        <v>7</v>
      </c>
      <c r="B639" t="str">
        <f>CHOOSE(MATCH(A639,{"Jan","Feb","Mar","Apr","May","Jun","Jul","Aug","Sep","Oct","Nov","Dec"},0), "Q1","Q1","Q1", "Q2","Q2","Q2", "Q3","Q3","Q3", "Q4","Q4","Q4")</f>
        <v>Q1</v>
      </c>
      <c r="C639" t="s">
        <v>23</v>
      </c>
      <c r="D639" t="s">
        <v>25</v>
      </c>
      <c r="E639" t="s">
        <v>60</v>
      </c>
      <c r="F639" s="4">
        <v>39633</v>
      </c>
      <c r="G639" s="4">
        <v>39545</v>
      </c>
      <c r="H639" s="7">
        <f t="shared" si="27"/>
        <v>-88</v>
      </c>
      <c r="I639" s="9">
        <f t="shared" si="28"/>
        <v>-2.2203719122953097E-3</v>
      </c>
      <c r="J639" t="str">
        <f t="shared" si="29"/>
        <v>Favourable</v>
      </c>
    </row>
    <row r="640" spans="1:10" x14ac:dyDescent="0.5">
      <c r="A640" t="s">
        <v>8</v>
      </c>
      <c r="B640" t="str">
        <f>CHOOSE(MATCH(A640,{"Jan","Feb","Mar","Apr","May","Jun","Jul","Aug","Sep","Oct","Nov","Dec"},0), "Q1","Q1","Q1", "Q2","Q2","Q2", "Q3","Q3","Q3", "Q4","Q4","Q4")</f>
        <v>Q1</v>
      </c>
      <c r="C640" t="s">
        <v>23</v>
      </c>
      <c r="D640" t="s">
        <v>25</v>
      </c>
      <c r="E640" t="s">
        <v>60</v>
      </c>
      <c r="F640" s="4">
        <v>44467</v>
      </c>
      <c r="G640" s="4">
        <v>44289</v>
      </c>
      <c r="H640" s="7">
        <f t="shared" si="27"/>
        <v>-178</v>
      </c>
      <c r="I640" s="9">
        <f t="shared" si="28"/>
        <v>-4.0029684934895539E-3</v>
      </c>
      <c r="J640" t="str">
        <f t="shared" si="29"/>
        <v>Favourable</v>
      </c>
    </row>
    <row r="641" spans="1:10" x14ac:dyDescent="0.5">
      <c r="A641" t="s">
        <v>9</v>
      </c>
      <c r="B641" t="str">
        <f>CHOOSE(MATCH(A641,{"Jan","Feb","Mar","Apr","May","Jun","Jul","Aug","Sep","Oct","Nov","Dec"},0), "Q1","Q1","Q1", "Q2","Q2","Q2", "Q3","Q3","Q3", "Q4","Q4","Q4")</f>
        <v>Q2</v>
      </c>
      <c r="C641" t="s">
        <v>23</v>
      </c>
      <c r="D641" t="s">
        <v>25</v>
      </c>
      <c r="E641" t="s">
        <v>60</v>
      </c>
      <c r="F641" s="4">
        <v>45917</v>
      </c>
      <c r="G641" s="4">
        <v>46029</v>
      </c>
      <c r="H641" s="7">
        <f t="shared" si="27"/>
        <v>112</v>
      </c>
      <c r="I641" s="9">
        <f t="shared" si="28"/>
        <v>2.4391837445826166E-3</v>
      </c>
      <c r="J641" t="str">
        <f t="shared" si="29"/>
        <v>Unfavourable</v>
      </c>
    </row>
    <row r="642" spans="1:10" x14ac:dyDescent="0.5">
      <c r="A642" t="s">
        <v>10</v>
      </c>
      <c r="B642" t="str">
        <f>CHOOSE(MATCH(A642,{"Jan","Feb","Mar","Apr","May","Jun","Jul","Aug","Sep","Oct","Nov","Dec"},0), "Q1","Q1","Q1", "Q2","Q2","Q2", "Q3","Q3","Q3", "Q4","Q4","Q4")</f>
        <v>Q2</v>
      </c>
      <c r="C642" t="s">
        <v>23</v>
      </c>
      <c r="D642" t="s">
        <v>25</v>
      </c>
      <c r="E642" t="s">
        <v>60</v>
      </c>
      <c r="F642" s="4">
        <v>48333</v>
      </c>
      <c r="G642" s="4">
        <v>49026</v>
      </c>
      <c r="H642" s="7">
        <f t="shared" si="27"/>
        <v>693</v>
      </c>
      <c r="I642" s="9">
        <f t="shared" si="28"/>
        <v>1.4338029917447707E-2</v>
      </c>
      <c r="J642" t="str">
        <f t="shared" si="29"/>
        <v>Unfavourable</v>
      </c>
    </row>
    <row r="643" spans="1:10" x14ac:dyDescent="0.5">
      <c r="A643" t="s">
        <v>11</v>
      </c>
      <c r="B643" t="str">
        <f>CHOOSE(MATCH(A643,{"Jan","Feb","Mar","Apr","May","Jun","Jul","Aug","Sep","Oct","Nov","Dec"},0), "Q1","Q1","Q1", "Q2","Q2","Q2", "Q3","Q3","Q3", "Q4","Q4","Q4")</f>
        <v>Q2</v>
      </c>
      <c r="C643" t="s">
        <v>23</v>
      </c>
      <c r="D643" t="s">
        <v>25</v>
      </c>
      <c r="E643" t="s">
        <v>60</v>
      </c>
      <c r="F643" s="4">
        <v>49300</v>
      </c>
      <c r="G643" s="4">
        <v>49143</v>
      </c>
      <c r="H643" s="7">
        <f t="shared" ref="H643:H706" si="30">G643-F643</f>
        <v>-157</v>
      </c>
      <c r="I643" s="9">
        <f t="shared" ref="I643:I706" si="31">SUM(G643-F643)/F643</f>
        <v>-3.1845841784989858E-3</v>
      </c>
      <c r="J643" t="str">
        <f t="shared" ref="J643:J706" si="32">IF(C643="Revenue",IF(G643&gt;F643,"Favourable","Unfavourable"),IF(G643&lt;F643,"Favourable","Unfavourable"))</f>
        <v>Favourable</v>
      </c>
    </row>
    <row r="644" spans="1:10" x14ac:dyDescent="0.5">
      <c r="A644" t="s">
        <v>12</v>
      </c>
      <c r="B644" t="str">
        <f>CHOOSE(MATCH(A644,{"Jan","Feb","Mar","Apr","May","Jun","Jul","Aug","Sep","Oct","Nov","Dec"},0), "Q1","Q1","Q1", "Q2","Q2","Q2", "Q3","Q3","Q3", "Q4","Q4","Q4")</f>
        <v>Q3</v>
      </c>
      <c r="C644" t="s">
        <v>23</v>
      </c>
      <c r="D644" t="s">
        <v>25</v>
      </c>
      <c r="E644" t="s">
        <v>60</v>
      </c>
      <c r="F644" s="4">
        <v>42533</v>
      </c>
      <c r="G644" s="4">
        <v>42408</v>
      </c>
      <c r="H644" s="7">
        <f t="shared" si="30"/>
        <v>-125</v>
      </c>
      <c r="I644" s="9">
        <f t="shared" si="31"/>
        <v>-2.9388945054428326E-3</v>
      </c>
      <c r="J644" t="str">
        <f t="shared" si="32"/>
        <v>Favourable</v>
      </c>
    </row>
    <row r="645" spans="1:10" x14ac:dyDescent="0.5">
      <c r="A645" t="s">
        <v>13</v>
      </c>
      <c r="B645" t="str">
        <f>CHOOSE(MATCH(A645,{"Jan","Feb","Mar","Apr","May","Jun","Jul","Aug","Sep","Oct","Nov","Dec"},0), "Q1","Q1","Q1", "Q2","Q2","Q2", "Q3","Q3","Q3", "Q4","Q4","Q4")</f>
        <v>Q3</v>
      </c>
      <c r="C645" t="s">
        <v>23</v>
      </c>
      <c r="D645" t="s">
        <v>25</v>
      </c>
      <c r="E645" t="s">
        <v>60</v>
      </c>
      <c r="F645" s="4">
        <v>41083</v>
      </c>
      <c r="G645" s="4">
        <v>40441</v>
      </c>
      <c r="H645" s="7">
        <f t="shared" si="30"/>
        <v>-642</v>
      </c>
      <c r="I645" s="9">
        <f t="shared" si="31"/>
        <v>-1.5626901638147166E-2</v>
      </c>
      <c r="J645" t="str">
        <f t="shared" si="32"/>
        <v>Favourable</v>
      </c>
    </row>
    <row r="646" spans="1:10" x14ac:dyDescent="0.5">
      <c r="A646" t="s">
        <v>14</v>
      </c>
      <c r="B646" t="str">
        <f>CHOOSE(MATCH(A646,{"Jan","Feb","Mar","Apr","May","Jun","Jul","Aug","Sep","Oct","Nov","Dec"},0), "Q1","Q1","Q1", "Q2","Q2","Q2", "Q3","Q3","Q3", "Q4","Q4","Q4")</f>
        <v>Q3</v>
      </c>
      <c r="C646" t="s">
        <v>23</v>
      </c>
      <c r="D646" t="s">
        <v>25</v>
      </c>
      <c r="E646" t="s">
        <v>60</v>
      </c>
      <c r="F646" s="4">
        <v>48333</v>
      </c>
      <c r="G646" s="4">
        <v>47891</v>
      </c>
      <c r="H646" s="7">
        <f t="shared" si="30"/>
        <v>-442</v>
      </c>
      <c r="I646" s="9">
        <f t="shared" si="31"/>
        <v>-9.144890654418307E-3</v>
      </c>
      <c r="J646" t="str">
        <f t="shared" si="32"/>
        <v>Favourable</v>
      </c>
    </row>
    <row r="647" spans="1:10" x14ac:dyDescent="0.5">
      <c r="A647" t="s">
        <v>15</v>
      </c>
      <c r="B647" t="str">
        <f>CHOOSE(MATCH(A647,{"Jan","Feb","Mar","Apr","May","Jun","Jul","Aug","Sep","Oct","Nov","Dec"},0), "Q1","Q1","Q1", "Q2","Q2","Q2", "Q3","Q3","Q3", "Q4","Q4","Q4")</f>
        <v>Q4</v>
      </c>
      <c r="C647" t="s">
        <v>23</v>
      </c>
      <c r="D647" t="s">
        <v>25</v>
      </c>
      <c r="E647" t="s">
        <v>60</v>
      </c>
      <c r="F647" s="4">
        <v>50750</v>
      </c>
      <c r="G647" s="4">
        <v>49944</v>
      </c>
      <c r="H647" s="7">
        <f t="shared" si="30"/>
        <v>-806</v>
      </c>
      <c r="I647" s="9">
        <f t="shared" si="31"/>
        <v>-1.5881773399014778E-2</v>
      </c>
      <c r="J647" t="str">
        <f t="shared" si="32"/>
        <v>Favourable</v>
      </c>
    </row>
    <row r="648" spans="1:10" x14ac:dyDescent="0.5">
      <c r="A648" t="s">
        <v>16</v>
      </c>
      <c r="B648" t="str">
        <f>CHOOSE(MATCH(A648,{"Jan","Feb","Mar","Apr","May","Jun","Jul","Aug","Sep","Oct","Nov","Dec"},0), "Q1","Q1","Q1", "Q2","Q2","Q2", "Q3","Q3","Q3", "Q4","Q4","Q4")</f>
        <v>Q4</v>
      </c>
      <c r="C648" t="s">
        <v>23</v>
      </c>
      <c r="D648" t="s">
        <v>25</v>
      </c>
      <c r="E648" t="s">
        <v>60</v>
      </c>
      <c r="F648" s="4">
        <v>52200</v>
      </c>
      <c r="G648" s="4">
        <v>52127</v>
      </c>
      <c r="H648" s="7">
        <f t="shared" si="30"/>
        <v>-73</v>
      </c>
      <c r="I648" s="9">
        <f t="shared" si="31"/>
        <v>-1.3984674329501916E-3</v>
      </c>
      <c r="J648" t="str">
        <f t="shared" si="32"/>
        <v>Favourable</v>
      </c>
    </row>
    <row r="649" spans="1:10" x14ac:dyDescent="0.5">
      <c r="A649" t="s">
        <v>17</v>
      </c>
      <c r="B649" t="str">
        <f>CHOOSE(MATCH(A649,{"Jan","Feb","Mar","Apr","May","Jun","Jul","Aug","Sep","Oct","Nov","Dec"},0), "Q1","Q1","Q1", "Q2","Q2","Q2", "Q3","Q3","Q3", "Q4","Q4","Q4")</f>
        <v>Q4</v>
      </c>
      <c r="C649" t="s">
        <v>23</v>
      </c>
      <c r="D649" t="s">
        <v>25</v>
      </c>
      <c r="E649" t="s">
        <v>60</v>
      </c>
      <c r="F649" s="4">
        <v>76367</v>
      </c>
      <c r="G649" s="4">
        <v>76575</v>
      </c>
      <c r="H649" s="7">
        <f t="shared" si="30"/>
        <v>208</v>
      </c>
      <c r="I649" s="9">
        <f t="shared" si="31"/>
        <v>2.7236895517697437E-3</v>
      </c>
      <c r="J649" t="str">
        <f t="shared" si="32"/>
        <v>Unfavourable</v>
      </c>
    </row>
    <row r="650" spans="1:10" x14ac:dyDescent="0.5">
      <c r="A650" t="s">
        <v>4</v>
      </c>
      <c r="B650" t="str">
        <f>CHOOSE(MATCH(A650,{"Jan","Feb","Mar","Apr","May","Jun","Jul","Aug","Sep","Oct","Nov","Dec"},0), "Q1","Q1","Q1", "Q2","Q2","Q2", "Q3","Q3","Q3", "Q4","Q4","Q4")</f>
        <v>Q1</v>
      </c>
      <c r="C650" t="s">
        <v>23</v>
      </c>
      <c r="D650" t="s">
        <v>61</v>
      </c>
      <c r="E650" t="s">
        <v>60</v>
      </c>
      <c r="F650" s="4">
        <v>22667</v>
      </c>
      <c r="G650" s="4">
        <v>20736</v>
      </c>
      <c r="H650" s="7">
        <f t="shared" si="30"/>
        <v>-1931</v>
      </c>
      <c r="I650" s="9">
        <f t="shared" si="31"/>
        <v>-8.5189923677592982E-2</v>
      </c>
      <c r="J650" t="str">
        <f t="shared" si="32"/>
        <v>Favourable</v>
      </c>
    </row>
    <row r="651" spans="1:10" x14ac:dyDescent="0.5">
      <c r="A651" t="s">
        <v>7</v>
      </c>
      <c r="B651" t="str">
        <f>CHOOSE(MATCH(A651,{"Jan","Feb","Mar","Apr","May","Jun","Jul","Aug","Sep","Oct","Nov","Dec"},0), "Q1","Q1","Q1", "Q2","Q2","Q2", "Q3","Q3","Q3", "Q4","Q4","Q4")</f>
        <v>Q1</v>
      </c>
      <c r="C651" t="s">
        <v>23</v>
      </c>
      <c r="D651" t="s">
        <v>61</v>
      </c>
      <c r="E651" t="s">
        <v>60</v>
      </c>
      <c r="F651" s="4">
        <v>21867</v>
      </c>
      <c r="G651" s="4">
        <v>20682</v>
      </c>
      <c r="H651" s="7">
        <f t="shared" si="30"/>
        <v>-1185</v>
      </c>
      <c r="I651" s="9">
        <f t="shared" si="31"/>
        <v>-5.4191247084648099E-2</v>
      </c>
      <c r="J651" t="str">
        <f t="shared" si="32"/>
        <v>Favourable</v>
      </c>
    </row>
    <row r="652" spans="1:10" x14ac:dyDescent="0.5">
      <c r="A652" t="s">
        <v>8</v>
      </c>
      <c r="B652" t="str">
        <f>CHOOSE(MATCH(A652,{"Jan","Feb","Mar","Apr","May","Jun","Jul","Aug","Sep","Oct","Nov","Dec"},0), "Q1","Q1","Q1", "Q2","Q2","Q2", "Q3","Q3","Q3", "Q4","Q4","Q4")</f>
        <v>Q1</v>
      </c>
      <c r="C652" t="s">
        <v>23</v>
      </c>
      <c r="D652" t="s">
        <v>61</v>
      </c>
      <c r="E652" t="s">
        <v>60</v>
      </c>
      <c r="F652" s="4">
        <v>24533</v>
      </c>
      <c r="G652" s="4">
        <v>25463</v>
      </c>
      <c r="H652" s="7">
        <f t="shared" si="30"/>
        <v>930</v>
      </c>
      <c r="I652" s="9">
        <f t="shared" si="31"/>
        <v>3.7908123751681407E-2</v>
      </c>
      <c r="J652" t="str">
        <f t="shared" si="32"/>
        <v>Unfavourable</v>
      </c>
    </row>
    <row r="653" spans="1:10" x14ac:dyDescent="0.5">
      <c r="A653" t="s">
        <v>9</v>
      </c>
      <c r="B653" t="str">
        <f>CHOOSE(MATCH(A653,{"Jan","Feb","Mar","Apr","May","Jun","Jul","Aug","Sep","Oct","Nov","Dec"},0), "Q1","Q1","Q1", "Q2","Q2","Q2", "Q3","Q3","Q3", "Q4","Q4","Q4")</f>
        <v>Q2</v>
      </c>
      <c r="C653" t="s">
        <v>23</v>
      </c>
      <c r="D653" t="s">
        <v>61</v>
      </c>
      <c r="E653" t="s">
        <v>60</v>
      </c>
      <c r="F653" s="4">
        <v>25333</v>
      </c>
      <c r="G653" s="4">
        <v>24363</v>
      </c>
      <c r="H653" s="7">
        <f t="shared" si="30"/>
        <v>-970</v>
      </c>
      <c r="I653" s="9">
        <f t="shared" si="31"/>
        <v>-3.8289977499703941E-2</v>
      </c>
      <c r="J653" t="str">
        <f t="shared" si="32"/>
        <v>Favourable</v>
      </c>
    </row>
    <row r="654" spans="1:10" x14ac:dyDescent="0.5">
      <c r="A654" t="s">
        <v>10</v>
      </c>
      <c r="B654" t="str">
        <f>CHOOSE(MATCH(A654,{"Jan","Feb","Mar","Apr","May","Jun","Jul","Aug","Sep","Oct","Nov","Dec"},0), "Q1","Q1","Q1", "Q2","Q2","Q2", "Q3","Q3","Q3", "Q4","Q4","Q4")</f>
        <v>Q2</v>
      </c>
      <c r="C654" t="s">
        <v>23</v>
      </c>
      <c r="D654" t="s">
        <v>61</v>
      </c>
      <c r="E654" t="s">
        <v>60</v>
      </c>
      <c r="F654" s="4">
        <v>26667</v>
      </c>
      <c r="G654" s="4">
        <v>25213</v>
      </c>
      <c r="H654" s="7">
        <f t="shared" si="30"/>
        <v>-1454</v>
      </c>
      <c r="I654" s="9">
        <f t="shared" si="31"/>
        <v>-5.4524318446019425E-2</v>
      </c>
      <c r="J654" t="str">
        <f t="shared" si="32"/>
        <v>Favourable</v>
      </c>
    </row>
    <row r="655" spans="1:10" x14ac:dyDescent="0.5">
      <c r="A655" t="s">
        <v>11</v>
      </c>
      <c r="B655" t="str">
        <f>CHOOSE(MATCH(A655,{"Jan","Feb","Mar","Apr","May","Jun","Jul","Aug","Sep","Oct","Nov","Dec"},0), "Q1","Q1","Q1", "Q2","Q2","Q2", "Q3","Q3","Q3", "Q4","Q4","Q4")</f>
        <v>Q2</v>
      </c>
      <c r="C655" t="s">
        <v>23</v>
      </c>
      <c r="D655" t="s">
        <v>61</v>
      </c>
      <c r="E655" t="s">
        <v>60</v>
      </c>
      <c r="F655" s="4">
        <v>27200</v>
      </c>
      <c r="G655" s="4">
        <v>26956</v>
      </c>
      <c r="H655" s="7">
        <f t="shared" si="30"/>
        <v>-244</v>
      </c>
      <c r="I655" s="9">
        <f t="shared" si="31"/>
        <v>-8.9705882352941173E-3</v>
      </c>
      <c r="J655" t="str">
        <f t="shared" si="32"/>
        <v>Favourable</v>
      </c>
    </row>
    <row r="656" spans="1:10" x14ac:dyDescent="0.5">
      <c r="A656" t="s">
        <v>12</v>
      </c>
      <c r="B656" t="str">
        <f>CHOOSE(MATCH(A656,{"Jan","Feb","Mar","Apr","May","Jun","Jul","Aug","Sep","Oct","Nov","Dec"},0), "Q1","Q1","Q1", "Q2","Q2","Q2", "Q3","Q3","Q3", "Q4","Q4","Q4")</f>
        <v>Q3</v>
      </c>
      <c r="C656" t="s">
        <v>23</v>
      </c>
      <c r="D656" t="s">
        <v>61</v>
      </c>
      <c r="E656" t="s">
        <v>60</v>
      </c>
      <c r="F656" s="4">
        <v>23467</v>
      </c>
      <c r="G656" s="4">
        <v>23259</v>
      </c>
      <c r="H656" s="7">
        <f t="shared" si="30"/>
        <v>-208</v>
      </c>
      <c r="I656" s="9">
        <f t="shared" si="31"/>
        <v>-8.8635104614991269E-3</v>
      </c>
      <c r="J656" t="str">
        <f t="shared" si="32"/>
        <v>Favourable</v>
      </c>
    </row>
    <row r="657" spans="1:10" x14ac:dyDescent="0.5">
      <c r="A657" t="s">
        <v>13</v>
      </c>
      <c r="B657" t="str">
        <f>CHOOSE(MATCH(A657,{"Jan","Feb","Mar","Apr","May","Jun","Jul","Aug","Sep","Oct","Nov","Dec"},0), "Q1","Q1","Q1", "Q2","Q2","Q2", "Q3","Q3","Q3", "Q4","Q4","Q4")</f>
        <v>Q3</v>
      </c>
      <c r="C657" t="s">
        <v>23</v>
      </c>
      <c r="D657" t="s">
        <v>61</v>
      </c>
      <c r="E657" t="s">
        <v>60</v>
      </c>
      <c r="F657" s="4">
        <v>22667</v>
      </c>
      <c r="G657" s="4">
        <v>21520</v>
      </c>
      <c r="H657" s="7">
        <f t="shared" si="30"/>
        <v>-1147</v>
      </c>
      <c r="I657" s="9">
        <f t="shared" si="31"/>
        <v>-5.0602197026514313E-2</v>
      </c>
      <c r="J657" t="str">
        <f t="shared" si="32"/>
        <v>Favourable</v>
      </c>
    </row>
    <row r="658" spans="1:10" x14ac:dyDescent="0.5">
      <c r="A658" t="s">
        <v>14</v>
      </c>
      <c r="B658" t="str">
        <f>CHOOSE(MATCH(A658,{"Jan","Feb","Mar","Apr","May","Jun","Jul","Aug","Sep","Oct","Nov","Dec"},0), "Q1","Q1","Q1", "Q2","Q2","Q2", "Q3","Q3","Q3", "Q4","Q4","Q4")</f>
        <v>Q3</v>
      </c>
      <c r="C658" t="s">
        <v>23</v>
      </c>
      <c r="D658" t="s">
        <v>61</v>
      </c>
      <c r="E658" t="s">
        <v>60</v>
      </c>
      <c r="F658" s="4">
        <v>26667</v>
      </c>
      <c r="G658" s="4">
        <v>26232</v>
      </c>
      <c r="H658" s="7">
        <f t="shared" si="30"/>
        <v>-435</v>
      </c>
      <c r="I658" s="9">
        <f t="shared" si="31"/>
        <v>-1.6312296096298796E-2</v>
      </c>
      <c r="J658" t="str">
        <f t="shared" si="32"/>
        <v>Favourable</v>
      </c>
    </row>
    <row r="659" spans="1:10" x14ac:dyDescent="0.5">
      <c r="A659" t="s">
        <v>15</v>
      </c>
      <c r="B659" t="str">
        <f>CHOOSE(MATCH(A659,{"Jan","Feb","Mar","Apr","May","Jun","Jul","Aug","Sep","Oct","Nov","Dec"},0), "Q1","Q1","Q1", "Q2","Q2","Q2", "Q3","Q3","Q3", "Q4","Q4","Q4")</f>
        <v>Q4</v>
      </c>
      <c r="C659" t="s">
        <v>23</v>
      </c>
      <c r="D659" t="s">
        <v>61</v>
      </c>
      <c r="E659" t="s">
        <v>60</v>
      </c>
      <c r="F659" s="4">
        <v>28000</v>
      </c>
      <c r="G659" s="4">
        <v>27330</v>
      </c>
      <c r="H659" s="7">
        <f t="shared" si="30"/>
        <v>-670</v>
      </c>
      <c r="I659" s="9">
        <f t="shared" si="31"/>
        <v>-2.3928571428571428E-2</v>
      </c>
      <c r="J659" t="str">
        <f t="shared" si="32"/>
        <v>Favourable</v>
      </c>
    </row>
    <row r="660" spans="1:10" x14ac:dyDescent="0.5">
      <c r="A660" t="s">
        <v>16</v>
      </c>
      <c r="B660" t="str">
        <f>CHOOSE(MATCH(A660,{"Jan","Feb","Mar","Apr","May","Jun","Jul","Aug","Sep","Oct","Nov","Dec"},0), "Q1","Q1","Q1", "Q2","Q2","Q2", "Q3","Q3","Q3", "Q4","Q4","Q4")</f>
        <v>Q4</v>
      </c>
      <c r="C660" t="s">
        <v>23</v>
      </c>
      <c r="D660" t="s">
        <v>61</v>
      </c>
      <c r="E660" t="s">
        <v>60</v>
      </c>
      <c r="F660" s="4">
        <v>28800</v>
      </c>
      <c r="G660" s="4">
        <v>25070</v>
      </c>
      <c r="H660" s="7">
        <f t="shared" si="30"/>
        <v>-3730</v>
      </c>
      <c r="I660" s="9">
        <f t="shared" si="31"/>
        <v>-0.1295138888888889</v>
      </c>
      <c r="J660" t="str">
        <f t="shared" si="32"/>
        <v>Favourable</v>
      </c>
    </row>
    <row r="661" spans="1:10" x14ac:dyDescent="0.5">
      <c r="A661" t="s">
        <v>17</v>
      </c>
      <c r="B661" t="str">
        <f>CHOOSE(MATCH(A661,{"Jan","Feb","Mar","Apr","May","Jun","Jul","Aug","Sep","Oct","Nov","Dec"},0), "Q1","Q1","Q1", "Q2","Q2","Q2", "Q3","Q3","Q3", "Q4","Q4","Q4")</f>
        <v>Q4</v>
      </c>
      <c r="C661" t="s">
        <v>23</v>
      </c>
      <c r="D661" t="s">
        <v>61</v>
      </c>
      <c r="E661" t="s">
        <v>60</v>
      </c>
      <c r="F661" s="4">
        <v>42133</v>
      </c>
      <c r="G661" s="4">
        <v>43192</v>
      </c>
      <c r="H661" s="7">
        <f t="shared" si="30"/>
        <v>1059</v>
      </c>
      <c r="I661" s="9">
        <f t="shared" si="31"/>
        <v>2.5134692521301592E-2</v>
      </c>
      <c r="J661" t="str">
        <f t="shared" si="32"/>
        <v>Unfavourable</v>
      </c>
    </row>
    <row r="662" spans="1:10" x14ac:dyDescent="0.5">
      <c r="A662" t="s">
        <v>4</v>
      </c>
      <c r="B662" t="str">
        <f>CHOOSE(MATCH(A662,{"Jan","Feb","Mar","Apr","May","Jun","Jul","Aug","Sep","Oct","Nov","Dec"},0), "Q1","Q1","Q1", "Q2","Q2","Q2", "Q3","Q3","Q3", "Q4","Q4","Q4")</f>
        <v>Q1</v>
      </c>
      <c r="C662" t="s">
        <v>23</v>
      </c>
      <c r="D662" t="s">
        <v>62</v>
      </c>
      <c r="E662" t="s">
        <v>60</v>
      </c>
      <c r="F662" s="4">
        <v>10200</v>
      </c>
      <c r="G662" s="4">
        <v>9786</v>
      </c>
      <c r="H662" s="7">
        <f t="shared" si="30"/>
        <v>-414</v>
      </c>
      <c r="I662" s="9">
        <f t="shared" si="31"/>
        <v>-4.0588235294117647E-2</v>
      </c>
      <c r="J662" t="str">
        <f t="shared" si="32"/>
        <v>Favourable</v>
      </c>
    </row>
    <row r="663" spans="1:10" x14ac:dyDescent="0.5">
      <c r="A663" t="s">
        <v>7</v>
      </c>
      <c r="B663" t="str">
        <f>CHOOSE(MATCH(A663,{"Jan","Feb","Mar","Apr","May","Jun","Jul","Aug","Sep","Oct","Nov","Dec"},0), "Q1","Q1","Q1", "Q2","Q2","Q2", "Q3","Q3","Q3", "Q4","Q4","Q4")</f>
        <v>Q1</v>
      </c>
      <c r="C663" t="s">
        <v>23</v>
      </c>
      <c r="D663" t="s">
        <v>62</v>
      </c>
      <c r="E663" t="s">
        <v>60</v>
      </c>
      <c r="F663" s="4">
        <v>9840</v>
      </c>
      <c r="G663" s="4">
        <v>10482</v>
      </c>
      <c r="H663" s="7">
        <f t="shared" si="30"/>
        <v>642</v>
      </c>
      <c r="I663" s="9">
        <f t="shared" si="31"/>
        <v>6.5243902439024393E-2</v>
      </c>
      <c r="J663" t="str">
        <f t="shared" si="32"/>
        <v>Unfavourable</v>
      </c>
    </row>
    <row r="664" spans="1:10" x14ac:dyDescent="0.5">
      <c r="A664" t="s">
        <v>8</v>
      </c>
      <c r="B664" t="str">
        <f>CHOOSE(MATCH(A664,{"Jan","Feb","Mar","Apr","May","Jun","Jul","Aug","Sep","Oct","Nov","Dec"},0), "Q1","Q1","Q1", "Q2","Q2","Q2", "Q3","Q3","Q3", "Q4","Q4","Q4")</f>
        <v>Q1</v>
      </c>
      <c r="C664" t="s">
        <v>23</v>
      </c>
      <c r="D664" t="s">
        <v>62</v>
      </c>
      <c r="E664" t="s">
        <v>60</v>
      </c>
      <c r="F664" s="4">
        <v>11040</v>
      </c>
      <c r="G664" s="4">
        <v>10405</v>
      </c>
      <c r="H664" s="7">
        <f t="shared" si="30"/>
        <v>-635</v>
      </c>
      <c r="I664" s="9">
        <f t="shared" si="31"/>
        <v>-5.7518115942028984E-2</v>
      </c>
      <c r="J664" t="str">
        <f t="shared" si="32"/>
        <v>Favourable</v>
      </c>
    </row>
    <row r="665" spans="1:10" x14ac:dyDescent="0.5">
      <c r="A665" t="s">
        <v>9</v>
      </c>
      <c r="B665" t="str">
        <f>CHOOSE(MATCH(A665,{"Jan","Feb","Mar","Apr","May","Jun","Jul","Aug","Sep","Oct","Nov","Dec"},0), "Q1","Q1","Q1", "Q2","Q2","Q2", "Q3","Q3","Q3", "Q4","Q4","Q4")</f>
        <v>Q2</v>
      </c>
      <c r="C665" t="s">
        <v>23</v>
      </c>
      <c r="D665" t="s">
        <v>62</v>
      </c>
      <c r="E665" t="s">
        <v>60</v>
      </c>
      <c r="F665" s="4">
        <v>11400</v>
      </c>
      <c r="G665" s="4">
        <v>10500</v>
      </c>
      <c r="H665" s="7">
        <f t="shared" si="30"/>
        <v>-900</v>
      </c>
      <c r="I665" s="9">
        <f t="shared" si="31"/>
        <v>-7.8947368421052627E-2</v>
      </c>
      <c r="J665" t="str">
        <f t="shared" si="32"/>
        <v>Favourable</v>
      </c>
    </row>
    <row r="666" spans="1:10" x14ac:dyDescent="0.5">
      <c r="A666" t="s">
        <v>10</v>
      </c>
      <c r="B666" t="str">
        <f>CHOOSE(MATCH(A666,{"Jan","Feb","Mar","Apr","May","Jun","Jul","Aug","Sep","Oct","Nov","Dec"},0), "Q1","Q1","Q1", "Q2","Q2","Q2", "Q3","Q3","Q3", "Q4","Q4","Q4")</f>
        <v>Q2</v>
      </c>
      <c r="C666" t="s">
        <v>23</v>
      </c>
      <c r="D666" t="s">
        <v>62</v>
      </c>
      <c r="E666" t="s">
        <v>60</v>
      </c>
      <c r="F666" s="4">
        <v>12000</v>
      </c>
      <c r="G666" s="4">
        <v>12713</v>
      </c>
      <c r="H666" s="7">
        <f t="shared" si="30"/>
        <v>713</v>
      </c>
      <c r="I666" s="9">
        <f t="shared" si="31"/>
        <v>5.9416666666666666E-2</v>
      </c>
      <c r="J666" t="str">
        <f t="shared" si="32"/>
        <v>Unfavourable</v>
      </c>
    </row>
    <row r="667" spans="1:10" x14ac:dyDescent="0.5">
      <c r="A667" t="s">
        <v>11</v>
      </c>
      <c r="B667" t="str">
        <f>CHOOSE(MATCH(A667,{"Jan","Feb","Mar","Apr","May","Jun","Jul","Aug","Sep","Oct","Nov","Dec"},0), "Q1","Q1","Q1", "Q2","Q2","Q2", "Q3","Q3","Q3", "Q4","Q4","Q4")</f>
        <v>Q2</v>
      </c>
      <c r="C667" t="s">
        <v>23</v>
      </c>
      <c r="D667" t="s">
        <v>62</v>
      </c>
      <c r="E667" t="s">
        <v>60</v>
      </c>
      <c r="F667" s="4">
        <v>12240</v>
      </c>
      <c r="G667" s="4">
        <v>11270</v>
      </c>
      <c r="H667" s="7">
        <f t="shared" si="30"/>
        <v>-970</v>
      </c>
      <c r="I667" s="9">
        <f t="shared" si="31"/>
        <v>-7.9248366013071891E-2</v>
      </c>
      <c r="J667" t="str">
        <f t="shared" si="32"/>
        <v>Favourable</v>
      </c>
    </row>
    <row r="668" spans="1:10" x14ac:dyDescent="0.5">
      <c r="A668" t="s">
        <v>12</v>
      </c>
      <c r="B668" t="str">
        <f>CHOOSE(MATCH(A668,{"Jan","Feb","Mar","Apr","May","Jun","Jul","Aug","Sep","Oct","Nov","Dec"},0), "Q1","Q1","Q1", "Q2","Q2","Q2", "Q3","Q3","Q3", "Q4","Q4","Q4")</f>
        <v>Q3</v>
      </c>
      <c r="C668" t="s">
        <v>23</v>
      </c>
      <c r="D668" t="s">
        <v>62</v>
      </c>
      <c r="E668" t="s">
        <v>60</v>
      </c>
      <c r="F668" s="4">
        <v>10560</v>
      </c>
      <c r="G668" s="4">
        <v>10224</v>
      </c>
      <c r="H668" s="7">
        <f t="shared" si="30"/>
        <v>-336</v>
      </c>
      <c r="I668" s="9">
        <f t="shared" si="31"/>
        <v>-3.1818181818181815E-2</v>
      </c>
      <c r="J668" t="str">
        <f t="shared" si="32"/>
        <v>Favourable</v>
      </c>
    </row>
    <row r="669" spans="1:10" x14ac:dyDescent="0.5">
      <c r="A669" t="s">
        <v>13</v>
      </c>
      <c r="B669" t="str">
        <f>CHOOSE(MATCH(A669,{"Jan","Feb","Mar","Apr","May","Jun","Jul","Aug","Sep","Oct","Nov","Dec"},0), "Q1","Q1","Q1", "Q2","Q2","Q2", "Q3","Q3","Q3", "Q4","Q4","Q4")</f>
        <v>Q3</v>
      </c>
      <c r="C669" t="s">
        <v>23</v>
      </c>
      <c r="D669" t="s">
        <v>62</v>
      </c>
      <c r="E669" t="s">
        <v>60</v>
      </c>
      <c r="F669" s="4">
        <v>10200</v>
      </c>
      <c r="G669" s="4">
        <v>10505</v>
      </c>
      <c r="H669" s="7">
        <f t="shared" si="30"/>
        <v>305</v>
      </c>
      <c r="I669" s="9">
        <f t="shared" si="31"/>
        <v>2.9901960784313727E-2</v>
      </c>
      <c r="J669" t="str">
        <f t="shared" si="32"/>
        <v>Unfavourable</v>
      </c>
    </row>
    <row r="670" spans="1:10" x14ac:dyDescent="0.5">
      <c r="A670" t="s">
        <v>14</v>
      </c>
      <c r="B670" t="str">
        <f>CHOOSE(MATCH(A670,{"Jan","Feb","Mar","Apr","May","Jun","Jul","Aug","Sep","Oct","Nov","Dec"},0), "Q1","Q1","Q1", "Q2","Q2","Q2", "Q3","Q3","Q3", "Q4","Q4","Q4")</f>
        <v>Q3</v>
      </c>
      <c r="C670" t="s">
        <v>23</v>
      </c>
      <c r="D670" t="s">
        <v>62</v>
      </c>
      <c r="E670" t="s">
        <v>60</v>
      </c>
      <c r="F670" s="4">
        <v>12000</v>
      </c>
      <c r="G670" s="4">
        <v>11802</v>
      </c>
      <c r="H670" s="7">
        <f t="shared" si="30"/>
        <v>-198</v>
      </c>
      <c r="I670" s="9">
        <f t="shared" si="31"/>
        <v>-1.6500000000000001E-2</v>
      </c>
      <c r="J670" t="str">
        <f t="shared" si="32"/>
        <v>Favourable</v>
      </c>
    </row>
    <row r="671" spans="1:10" x14ac:dyDescent="0.5">
      <c r="A671" t="s">
        <v>15</v>
      </c>
      <c r="B671" t="str">
        <f>CHOOSE(MATCH(A671,{"Jan","Feb","Mar","Apr","May","Jun","Jul","Aug","Sep","Oct","Nov","Dec"},0), "Q1","Q1","Q1", "Q2","Q2","Q2", "Q3","Q3","Q3", "Q4","Q4","Q4")</f>
        <v>Q4</v>
      </c>
      <c r="C671" t="s">
        <v>23</v>
      </c>
      <c r="D671" t="s">
        <v>62</v>
      </c>
      <c r="E671" t="s">
        <v>60</v>
      </c>
      <c r="F671" s="4">
        <v>12600</v>
      </c>
      <c r="G671" s="4">
        <v>11557</v>
      </c>
      <c r="H671" s="7">
        <f t="shared" si="30"/>
        <v>-1043</v>
      </c>
      <c r="I671" s="9">
        <f t="shared" si="31"/>
        <v>-8.2777777777777783E-2</v>
      </c>
      <c r="J671" t="str">
        <f t="shared" si="32"/>
        <v>Favourable</v>
      </c>
    </row>
    <row r="672" spans="1:10" x14ac:dyDescent="0.5">
      <c r="A672" t="s">
        <v>16</v>
      </c>
      <c r="B672" t="str">
        <f>CHOOSE(MATCH(A672,{"Jan","Feb","Mar","Apr","May","Jun","Jul","Aug","Sep","Oct","Nov","Dec"},0), "Q1","Q1","Q1", "Q2","Q2","Q2", "Q3","Q3","Q3", "Q4","Q4","Q4")</f>
        <v>Q4</v>
      </c>
      <c r="C672" t="s">
        <v>23</v>
      </c>
      <c r="D672" t="s">
        <v>62</v>
      </c>
      <c r="E672" t="s">
        <v>60</v>
      </c>
      <c r="F672" s="4">
        <v>12960</v>
      </c>
      <c r="G672" s="4">
        <v>13082</v>
      </c>
      <c r="H672" s="7">
        <f t="shared" si="30"/>
        <v>122</v>
      </c>
      <c r="I672" s="9">
        <f t="shared" si="31"/>
        <v>9.4135802469135811E-3</v>
      </c>
      <c r="J672" t="str">
        <f t="shared" si="32"/>
        <v>Unfavourable</v>
      </c>
    </row>
    <row r="673" spans="1:10" x14ac:dyDescent="0.5">
      <c r="A673" t="s">
        <v>17</v>
      </c>
      <c r="B673" t="str">
        <f>CHOOSE(MATCH(A673,{"Jan","Feb","Mar","Apr","May","Jun","Jul","Aug","Sep","Oct","Nov","Dec"},0), "Q1","Q1","Q1", "Q2","Q2","Q2", "Q3","Q3","Q3", "Q4","Q4","Q4")</f>
        <v>Q4</v>
      </c>
      <c r="C673" t="s">
        <v>23</v>
      </c>
      <c r="D673" t="s">
        <v>62</v>
      </c>
      <c r="E673" t="s">
        <v>60</v>
      </c>
      <c r="F673" s="4">
        <v>18960</v>
      </c>
      <c r="G673" s="4">
        <v>18776</v>
      </c>
      <c r="H673" s="7">
        <f t="shared" si="30"/>
        <v>-184</v>
      </c>
      <c r="I673" s="9">
        <f t="shared" si="31"/>
        <v>-9.7046413502109713E-3</v>
      </c>
      <c r="J673" t="str">
        <f t="shared" si="32"/>
        <v>Favourable</v>
      </c>
    </row>
    <row r="674" spans="1:10" x14ac:dyDescent="0.5">
      <c r="A674" t="s">
        <v>4</v>
      </c>
      <c r="B674" t="str">
        <f>CHOOSE(MATCH(A674,{"Jan","Feb","Mar","Apr","May","Jun","Jul","Aug","Sep","Oct","Nov","Dec"},0), "Q1","Q1","Q1", "Q2","Q2","Q2", "Q3","Q3","Q3", "Q4","Q4","Q4")</f>
        <v>Q1</v>
      </c>
      <c r="C674" t="s">
        <v>23</v>
      </c>
      <c r="D674" t="s">
        <v>38</v>
      </c>
      <c r="E674" t="s">
        <v>60</v>
      </c>
      <c r="F674" s="4">
        <v>14167</v>
      </c>
      <c r="G674" s="4">
        <v>15076</v>
      </c>
      <c r="H674" s="7">
        <f t="shared" si="30"/>
        <v>909</v>
      </c>
      <c r="I674" s="9">
        <f t="shared" si="31"/>
        <v>6.4163196160090349E-2</v>
      </c>
      <c r="J674" t="str">
        <f t="shared" si="32"/>
        <v>Unfavourable</v>
      </c>
    </row>
    <row r="675" spans="1:10" x14ac:dyDescent="0.5">
      <c r="A675" t="s">
        <v>7</v>
      </c>
      <c r="B675" t="str">
        <f>CHOOSE(MATCH(A675,{"Jan","Feb","Mar","Apr","May","Jun","Jul","Aug","Sep","Oct","Nov","Dec"},0), "Q1","Q1","Q1", "Q2","Q2","Q2", "Q3","Q3","Q3", "Q4","Q4","Q4")</f>
        <v>Q1</v>
      </c>
      <c r="C675" t="s">
        <v>23</v>
      </c>
      <c r="D675" t="s">
        <v>38</v>
      </c>
      <c r="E675" t="s">
        <v>60</v>
      </c>
      <c r="F675" s="4">
        <v>13667</v>
      </c>
      <c r="G675" s="4">
        <v>14069</v>
      </c>
      <c r="H675" s="7">
        <f t="shared" si="30"/>
        <v>402</v>
      </c>
      <c r="I675" s="9">
        <f t="shared" si="31"/>
        <v>2.94139167337382E-2</v>
      </c>
      <c r="J675" t="str">
        <f t="shared" si="32"/>
        <v>Unfavourable</v>
      </c>
    </row>
    <row r="676" spans="1:10" x14ac:dyDescent="0.5">
      <c r="A676" t="s">
        <v>8</v>
      </c>
      <c r="B676" t="str">
        <f>CHOOSE(MATCH(A676,{"Jan","Feb","Mar","Apr","May","Jun","Jul","Aug","Sep","Oct","Nov","Dec"},0), "Q1","Q1","Q1", "Q2","Q2","Q2", "Q3","Q3","Q3", "Q4","Q4","Q4")</f>
        <v>Q1</v>
      </c>
      <c r="C676" t="s">
        <v>23</v>
      </c>
      <c r="D676" t="s">
        <v>38</v>
      </c>
      <c r="E676" t="s">
        <v>60</v>
      </c>
      <c r="F676" s="4">
        <v>15333</v>
      </c>
      <c r="G676" s="4">
        <v>17660</v>
      </c>
      <c r="H676" s="7">
        <f t="shared" si="30"/>
        <v>2327</v>
      </c>
      <c r="I676" s="9">
        <f t="shared" si="31"/>
        <v>0.15176416878627796</v>
      </c>
      <c r="J676" t="str">
        <f t="shared" si="32"/>
        <v>Unfavourable</v>
      </c>
    </row>
    <row r="677" spans="1:10" x14ac:dyDescent="0.5">
      <c r="A677" t="s">
        <v>9</v>
      </c>
      <c r="B677" t="str">
        <f>CHOOSE(MATCH(A677,{"Jan","Feb","Mar","Apr","May","Jun","Jul","Aug","Sep","Oct","Nov","Dec"},0), "Q1","Q1","Q1", "Q2","Q2","Q2", "Q3","Q3","Q3", "Q4","Q4","Q4")</f>
        <v>Q2</v>
      </c>
      <c r="C677" t="s">
        <v>23</v>
      </c>
      <c r="D677" t="s">
        <v>38</v>
      </c>
      <c r="E677" t="s">
        <v>60</v>
      </c>
      <c r="F677" s="4">
        <v>15833</v>
      </c>
      <c r="G677" s="4">
        <v>14530</v>
      </c>
      <c r="H677" s="7">
        <f t="shared" si="30"/>
        <v>-1303</v>
      </c>
      <c r="I677" s="9">
        <f t="shared" si="31"/>
        <v>-8.2296469399355782E-2</v>
      </c>
      <c r="J677" t="str">
        <f t="shared" si="32"/>
        <v>Favourable</v>
      </c>
    </row>
    <row r="678" spans="1:10" x14ac:dyDescent="0.5">
      <c r="A678" t="s">
        <v>10</v>
      </c>
      <c r="B678" t="str">
        <f>CHOOSE(MATCH(A678,{"Jan","Feb","Mar","Apr","May","Jun","Jul","Aug","Sep","Oct","Nov","Dec"},0), "Q1","Q1","Q1", "Q2","Q2","Q2", "Q3","Q3","Q3", "Q4","Q4","Q4")</f>
        <v>Q2</v>
      </c>
      <c r="C678" t="s">
        <v>23</v>
      </c>
      <c r="D678" t="s">
        <v>38</v>
      </c>
      <c r="E678" t="s">
        <v>60</v>
      </c>
      <c r="F678" s="4">
        <v>16667</v>
      </c>
      <c r="G678" s="4">
        <v>16649</v>
      </c>
      <c r="H678" s="7">
        <f t="shared" si="30"/>
        <v>-18</v>
      </c>
      <c r="I678" s="9">
        <f t="shared" si="31"/>
        <v>-1.0799784004319913E-3</v>
      </c>
      <c r="J678" t="str">
        <f t="shared" si="32"/>
        <v>Favourable</v>
      </c>
    </row>
    <row r="679" spans="1:10" x14ac:dyDescent="0.5">
      <c r="A679" t="s">
        <v>11</v>
      </c>
      <c r="B679" t="str">
        <f>CHOOSE(MATCH(A679,{"Jan","Feb","Mar","Apr","May","Jun","Jul","Aug","Sep","Oct","Nov","Dec"},0), "Q1","Q1","Q1", "Q2","Q2","Q2", "Q3","Q3","Q3", "Q4","Q4","Q4")</f>
        <v>Q2</v>
      </c>
      <c r="C679" t="s">
        <v>23</v>
      </c>
      <c r="D679" t="s">
        <v>38</v>
      </c>
      <c r="E679" t="s">
        <v>60</v>
      </c>
      <c r="F679" s="4">
        <v>17000</v>
      </c>
      <c r="G679" s="4">
        <v>16093</v>
      </c>
      <c r="H679" s="7">
        <f t="shared" si="30"/>
        <v>-907</v>
      </c>
      <c r="I679" s="9">
        <f t="shared" si="31"/>
        <v>-5.3352941176470589E-2</v>
      </c>
      <c r="J679" t="str">
        <f t="shared" si="32"/>
        <v>Favourable</v>
      </c>
    </row>
    <row r="680" spans="1:10" x14ac:dyDescent="0.5">
      <c r="A680" t="s">
        <v>12</v>
      </c>
      <c r="B680" t="str">
        <f>CHOOSE(MATCH(A680,{"Jan","Feb","Mar","Apr","May","Jun","Jul","Aug","Sep","Oct","Nov","Dec"},0), "Q1","Q1","Q1", "Q2","Q2","Q2", "Q3","Q3","Q3", "Q4","Q4","Q4")</f>
        <v>Q3</v>
      </c>
      <c r="C680" t="s">
        <v>23</v>
      </c>
      <c r="D680" t="s">
        <v>38</v>
      </c>
      <c r="E680" t="s">
        <v>60</v>
      </c>
      <c r="F680" s="4">
        <v>14667</v>
      </c>
      <c r="G680" s="4">
        <v>15514</v>
      </c>
      <c r="H680" s="7">
        <f t="shared" si="30"/>
        <v>847</v>
      </c>
      <c r="I680" s="9">
        <f t="shared" si="31"/>
        <v>5.7748687529828868E-2</v>
      </c>
      <c r="J680" t="str">
        <f t="shared" si="32"/>
        <v>Unfavourable</v>
      </c>
    </row>
    <row r="681" spans="1:10" x14ac:dyDescent="0.5">
      <c r="A681" t="s">
        <v>13</v>
      </c>
      <c r="B681" t="str">
        <f>CHOOSE(MATCH(A681,{"Jan","Feb","Mar","Apr","May","Jun","Jul","Aug","Sep","Oct","Nov","Dec"},0), "Q1","Q1","Q1", "Q2","Q2","Q2", "Q3","Q3","Q3", "Q4","Q4","Q4")</f>
        <v>Q3</v>
      </c>
      <c r="C681" t="s">
        <v>23</v>
      </c>
      <c r="D681" t="s">
        <v>38</v>
      </c>
      <c r="E681" t="s">
        <v>60</v>
      </c>
      <c r="F681" s="4">
        <v>14167</v>
      </c>
      <c r="G681" s="4">
        <v>14749</v>
      </c>
      <c r="H681" s="7">
        <f t="shared" si="30"/>
        <v>582</v>
      </c>
      <c r="I681" s="9">
        <f t="shared" si="31"/>
        <v>4.1081386320321878E-2</v>
      </c>
      <c r="J681" t="str">
        <f t="shared" si="32"/>
        <v>Unfavourable</v>
      </c>
    </row>
    <row r="682" spans="1:10" x14ac:dyDescent="0.5">
      <c r="A682" t="s">
        <v>14</v>
      </c>
      <c r="B682" t="str">
        <f>CHOOSE(MATCH(A682,{"Jan","Feb","Mar","Apr","May","Jun","Jul","Aug","Sep","Oct","Nov","Dec"},0), "Q1","Q1","Q1", "Q2","Q2","Q2", "Q3","Q3","Q3", "Q4","Q4","Q4")</f>
        <v>Q3</v>
      </c>
      <c r="C682" t="s">
        <v>23</v>
      </c>
      <c r="D682" t="s">
        <v>38</v>
      </c>
      <c r="E682" t="s">
        <v>60</v>
      </c>
      <c r="F682" s="4">
        <v>16667</v>
      </c>
      <c r="G682" s="4">
        <v>17295</v>
      </c>
      <c r="H682" s="7">
        <f t="shared" si="30"/>
        <v>628</v>
      </c>
      <c r="I682" s="9">
        <f t="shared" si="31"/>
        <v>3.7679246415071699E-2</v>
      </c>
      <c r="J682" t="str">
        <f t="shared" si="32"/>
        <v>Unfavourable</v>
      </c>
    </row>
    <row r="683" spans="1:10" x14ac:dyDescent="0.5">
      <c r="A683" t="s">
        <v>15</v>
      </c>
      <c r="B683" t="str">
        <f>CHOOSE(MATCH(A683,{"Jan","Feb","Mar","Apr","May","Jun","Jul","Aug","Sep","Oct","Nov","Dec"},0), "Q1","Q1","Q1", "Q2","Q2","Q2", "Q3","Q3","Q3", "Q4","Q4","Q4")</f>
        <v>Q4</v>
      </c>
      <c r="C683" t="s">
        <v>23</v>
      </c>
      <c r="D683" t="s">
        <v>38</v>
      </c>
      <c r="E683" t="s">
        <v>60</v>
      </c>
      <c r="F683" s="4">
        <v>17500</v>
      </c>
      <c r="G683" s="4">
        <v>16820</v>
      </c>
      <c r="H683" s="7">
        <f t="shared" si="30"/>
        <v>-680</v>
      </c>
      <c r="I683" s="9">
        <f t="shared" si="31"/>
        <v>-3.8857142857142854E-2</v>
      </c>
      <c r="J683" t="str">
        <f t="shared" si="32"/>
        <v>Favourable</v>
      </c>
    </row>
    <row r="684" spans="1:10" x14ac:dyDescent="0.5">
      <c r="A684" t="s">
        <v>16</v>
      </c>
      <c r="B684" t="str">
        <f>CHOOSE(MATCH(A684,{"Jan","Feb","Mar","Apr","May","Jun","Jul","Aug","Sep","Oct","Nov","Dec"},0), "Q1","Q1","Q1", "Q2","Q2","Q2", "Q3","Q3","Q3", "Q4","Q4","Q4")</f>
        <v>Q4</v>
      </c>
      <c r="C684" t="s">
        <v>23</v>
      </c>
      <c r="D684" t="s">
        <v>38</v>
      </c>
      <c r="E684" t="s">
        <v>60</v>
      </c>
      <c r="F684" s="4">
        <v>18000</v>
      </c>
      <c r="G684" s="4">
        <v>17329</v>
      </c>
      <c r="H684" s="7">
        <f t="shared" si="30"/>
        <v>-671</v>
      </c>
      <c r="I684" s="9">
        <f t="shared" si="31"/>
        <v>-3.7277777777777778E-2</v>
      </c>
      <c r="J684" t="str">
        <f t="shared" si="32"/>
        <v>Favourable</v>
      </c>
    </row>
    <row r="685" spans="1:10" x14ac:dyDescent="0.5">
      <c r="A685" t="s">
        <v>17</v>
      </c>
      <c r="B685" t="str">
        <f>CHOOSE(MATCH(A685,{"Jan","Feb","Mar","Apr","May","Jun","Jul","Aug","Sep","Oct","Nov","Dec"},0), "Q1","Q1","Q1", "Q2","Q2","Q2", "Q3","Q3","Q3", "Q4","Q4","Q4")</f>
        <v>Q4</v>
      </c>
      <c r="C685" t="s">
        <v>23</v>
      </c>
      <c r="D685" t="s">
        <v>38</v>
      </c>
      <c r="E685" t="s">
        <v>60</v>
      </c>
      <c r="F685" s="4">
        <v>26333</v>
      </c>
      <c r="G685" s="4">
        <v>23661</v>
      </c>
      <c r="H685" s="7">
        <f t="shared" si="30"/>
        <v>-2672</v>
      </c>
      <c r="I685" s="9">
        <f t="shared" si="31"/>
        <v>-0.10146963885618805</v>
      </c>
      <c r="J685" t="str">
        <f t="shared" si="32"/>
        <v>Favourable</v>
      </c>
    </row>
    <row r="686" spans="1:10" x14ac:dyDescent="0.5">
      <c r="A686" t="s">
        <v>4</v>
      </c>
      <c r="B686" t="str">
        <f>CHOOSE(MATCH(A686,{"Jan","Feb","Mar","Apr","May","Jun","Jul","Aug","Sep","Oct","Nov","Dec"},0), "Q1","Q1","Q1", "Q2","Q2","Q2", "Q3","Q3","Q3", "Q4","Q4","Q4")</f>
        <v>Q1</v>
      </c>
      <c r="C686" t="s">
        <v>23</v>
      </c>
      <c r="D686" t="s">
        <v>32</v>
      </c>
      <c r="E686" t="s">
        <v>60</v>
      </c>
      <c r="F686" s="4">
        <v>1275</v>
      </c>
      <c r="G686" s="4">
        <v>1353</v>
      </c>
      <c r="H686" s="7">
        <f t="shared" si="30"/>
        <v>78</v>
      </c>
      <c r="I686" s="9">
        <f t="shared" si="31"/>
        <v>6.1176470588235297E-2</v>
      </c>
      <c r="J686" t="str">
        <f t="shared" si="32"/>
        <v>Unfavourable</v>
      </c>
    </row>
    <row r="687" spans="1:10" x14ac:dyDescent="0.5">
      <c r="A687" t="s">
        <v>7</v>
      </c>
      <c r="B687" t="str">
        <f>CHOOSE(MATCH(A687,{"Jan","Feb","Mar","Apr","May","Jun","Jul","Aug","Sep","Oct","Nov","Dec"},0), "Q1","Q1","Q1", "Q2","Q2","Q2", "Q3","Q3","Q3", "Q4","Q4","Q4")</f>
        <v>Q1</v>
      </c>
      <c r="C687" t="s">
        <v>23</v>
      </c>
      <c r="D687" t="s">
        <v>32</v>
      </c>
      <c r="E687" t="s">
        <v>60</v>
      </c>
      <c r="F687" s="4">
        <v>1230</v>
      </c>
      <c r="G687" s="4">
        <v>1368</v>
      </c>
      <c r="H687" s="7">
        <f t="shared" si="30"/>
        <v>138</v>
      </c>
      <c r="I687" s="9">
        <f t="shared" si="31"/>
        <v>0.11219512195121951</v>
      </c>
      <c r="J687" t="str">
        <f t="shared" si="32"/>
        <v>Unfavourable</v>
      </c>
    </row>
    <row r="688" spans="1:10" x14ac:dyDescent="0.5">
      <c r="A688" t="s">
        <v>8</v>
      </c>
      <c r="B688" t="str">
        <f>CHOOSE(MATCH(A688,{"Jan","Feb","Mar","Apr","May","Jun","Jul","Aug","Sep","Oct","Nov","Dec"},0), "Q1","Q1","Q1", "Q2","Q2","Q2", "Q3","Q3","Q3", "Q4","Q4","Q4")</f>
        <v>Q1</v>
      </c>
      <c r="C688" t="s">
        <v>23</v>
      </c>
      <c r="D688" t="s">
        <v>32</v>
      </c>
      <c r="E688" t="s">
        <v>60</v>
      </c>
      <c r="F688" s="4">
        <v>1380</v>
      </c>
      <c r="G688" s="4">
        <v>1542</v>
      </c>
      <c r="H688" s="7">
        <f t="shared" si="30"/>
        <v>162</v>
      </c>
      <c r="I688" s="9">
        <f t="shared" si="31"/>
        <v>0.11739130434782609</v>
      </c>
      <c r="J688" t="str">
        <f t="shared" si="32"/>
        <v>Unfavourable</v>
      </c>
    </row>
    <row r="689" spans="1:10" x14ac:dyDescent="0.5">
      <c r="A689" t="s">
        <v>9</v>
      </c>
      <c r="B689" t="str">
        <f>CHOOSE(MATCH(A689,{"Jan","Feb","Mar","Apr","May","Jun","Jul","Aug","Sep","Oct","Nov","Dec"},0), "Q1","Q1","Q1", "Q2","Q2","Q2", "Q3","Q3","Q3", "Q4","Q4","Q4")</f>
        <v>Q2</v>
      </c>
      <c r="C689" t="s">
        <v>23</v>
      </c>
      <c r="D689" t="s">
        <v>32</v>
      </c>
      <c r="E689" t="s">
        <v>60</v>
      </c>
      <c r="F689" s="4">
        <v>1425</v>
      </c>
      <c r="G689" s="4">
        <v>1303</v>
      </c>
      <c r="H689" s="7">
        <f t="shared" si="30"/>
        <v>-122</v>
      </c>
      <c r="I689" s="9">
        <f t="shared" si="31"/>
        <v>-8.5614035087719295E-2</v>
      </c>
      <c r="J689" t="str">
        <f t="shared" si="32"/>
        <v>Favourable</v>
      </c>
    </row>
    <row r="690" spans="1:10" x14ac:dyDescent="0.5">
      <c r="A690" t="s">
        <v>10</v>
      </c>
      <c r="B690" t="str">
        <f>CHOOSE(MATCH(A690,{"Jan","Feb","Mar","Apr","May","Jun","Jul","Aug","Sep","Oct","Nov","Dec"},0), "Q1","Q1","Q1", "Q2","Q2","Q2", "Q3","Q3","Q3", "Q4","Q4","Q4")</f>
        <v>Q2</v>
      </c>
      <c r="C690" t="s">
        <v>23</v>
      </c>
      <c r="D690" t="s">
        <v>32</v>
      </c>
      <c r="E690" t="s">
        <v>60</v>
      </c>
      <c r="F690" s="4">
        <v>1500</v>
      </c>
      <c r="G690" s="4">
        <v>1564</v>
      </c>
      <c r="H690" s="7">
        <f t="shared" si="30"/>
        <v>64</v>
      </c>
      <c r="I690" s="9">
        <f t="shared" si="31"/>
        <v>4.2666666666666665E-2</v>
      </c>
      <c r="J690" t="str">
        <f t="shared" si="32"/>
        <v>Unfavourable</v>
      </c>
    </row>
    <row r="691" spans="1:10" x14ac:dyDescent="0.5">
      <c r="A691" t="s">
        <v>11</v>
      </c>
      <c r="B691" t="str">
        <f>CHOOSE(MATCH(A691,{"Jan","Feb","Mar","Apr","May","Jun","Jul","Aug","Sep","Oct","Nov","Dec"},0), "Q1","Q1","Q1", "Q2","Q2","Q2", "Q3","Q3","Q3", "Q4","Q4","Q4")</f>
        <v>Q2</v>
      </c>
      <c r="C691" t="s">
        <v>23</v>
      </c>
      <c r="D691" t="s">
        <v>32</v>
      </c>
      <c r="E691" t="s">
        <v>60</v>
      </c>
      <c r="F691" s="4">
        <v>1530</v>
      </c>
      <c r="G691" s="4">
        <v>1345</v>
      </c>
      <c r="H691" s="7">
        <f t="shared" si="30"/>
        <v>-185</v>
      </c>
      <c r="I691" s="9">
        <f t="shared" si="31"/>
        <v>-0.12091503267973856</v>
      </c>
      <c r="J691" t="str">
        <f t="shared" si="32"/>
        <v>Favourable</v>
      </c>
    </row>
    <row r="692" spans="1:10" x14ac:dyDescent="0.5">
      <c r="A692" t="s">
        <v>12</v>
      </c>
      <c r="B692" t="str">
        <f>CHOOSE(MATCH(A692,{"Jan","Feb","Mar","Apr","May","Jun","Jul","Aug","Sep","Oct","Nov","Dec"},0), "Q1","Q1","Q1", "Q2","Q2","Q2", "Q3","Q3","Q3", "Q4","Q4","Q4")</f>
        <v>Q3</v>
      </c>
      <c r="C692" t="s">
        <v>23</v>
      </c>
      <c r="D692" t="s">
        <v>32</v>
      </c>
      <c r="E692" t="s">
        <v>60</v>
      </c>
      <c r="F692" s="4">
        <v>1320</v>
      </c>
      <c r="G692" s="4">
        <v>1669</v>
      </c>
      <c r="H692" s="7">
        <f t="shared" si="30"/>
        <v>349</v>
      </c>
      <c r="I692" s="9">
        <f t="shared" si="31"/>
        <v>0.2643939393939394</v>
      </c>
      <c r="J692" t="str">
        <f t="shared" si="32"/>
        <v>Unfavourable</v>
      </c>
    </row>
    <row r="693" spans="1:10" x14ac:dyDescent="0.5">
      <c r="A693" t="s">
        <v>13</v>
      </c>
      <c r="B693" t="str">
        <f>CHOOSE(MATCH(A693,{"Jan","Feb","Mar","Apr","May","Jun","Jul","Aug","Sep","Oct","Nov","Dec"},0), "Q1","Q1","Q1", "Q2","Q2","Q2", "Q3","Q3","Q3", "Q4","Q4","Q4")</f>
        <v>Q3</v>
      </c>
      <c r="C693" t="s">
        <v>23</v>
      </c>
      <c r="D693" t="s">
        <v>32</v>
      </c>
      <c r="E693" t="s">
        <v>60</v>
      </c>
      <c r="F693" s="4">
        <v>1275</v>
      </c>
      <c r="G693" s="4">
        <v>1408</v>
      </c>
      <c r="H693" s="7">
        <f t="shared" si="30"/>
        <v>133</v>
      </c>
      <c r="I693" s="9">
        <f t="shared" si="31"/>
        <v>0.10431372549019607</v>
      </c>
      <c r="J693" t="str">
        <f t="shared" si="32"/>
        <v>Unfavourable</v>
      </c>
    </row>
    <row r="694" spans="1:10" x14ac:dyDescent="0.5">
      <c r="A694" t="s">
        <v>14</v>
      </c>
      <c r="B694" t="str">
        <f>CHOOSE(MATCH(A694,{"Jan","Feb","Mar","Apr","May","Jun","Jul","Aug","Sep","Oct","Nov","Dec"},0), "Q1","Q1","Q1", "Q2","Q2","Q2", "Q3","Q3","Q3", "Q4","Q4","Q4")</f>
        <v>Q3</v>
      </c>
      <c r="C694" t="s">
        <v>23</v>
      </c>
      <c r="D694" t="s">
        <v>32</v>
      </c>
      <c r="E694" t="s">
        <v>60</v>
      </c>
      <c r="F694" s="4">
        <v>1500</v>
      </c>
      <c r="G694" s="4">
        <v>1638</v>
      </c>
      <c r="H694" s="7">
        <f t="shared" si="30"/>
        <v>138</v>
      </c>
      <c r="I694" s="9">
        <f t="shared" si="31"/>
        <v>9.1999999999999998E-2</v>
      </c>
      <c r="J694" t="str">
        <f t="shared" si="32"/>
        <v>Unfavourable</v>
      </c>
    </row>
    <row r="695" spans="1:10" x14ac:dyDescent="0.5">
      <c r="A695" t="s">
        <v>15</v>
      </c>
      <c r="B695" t="str">
        <f>CHOOSE(MATCH(A695,{"Jan","Feb","Mar","Apr","May","Jun","Jul","Aug","Sep","Oct","Nov","Dec"},0), "Q1","Q1","Q1", "Q2","Q2","Q2", "Q3","Q3","Q3", "Q4","Q4","Q4")</f>
        <v>Q4</v>
      </c>
      <c r="C695" t="s">
        <v>23</v>
      </c>
      <c r="D695" t="s">
        <v>32</v>
      </c>
      <c r="E695" t="s">
        <v>60</v>
      </c>
      <c r="F695" s="4">
        <v>1575</v>
      </c>
      <c r="G695" s="4">
        <v>1595</v>
      </c>
      <c r="H695" s="7">
        <f t="shared" si="30"/>
        <v>20</v>
      </c>
      <c r="I695" s="9">
        <f t="shared" si="31"/>
        <v>1.2698412698412698E-2</v>
      </c>
      <c r="J695" t="str">
        <f t="shared" si="32"/>
        <v>Unfavourable</v>
      </c>
    </row>
    <row r="696" spans="1:10" x14ac:dyDescent="0.5">
      <c r="A696" t="s">
        <v>16</v>
      </c>
      <c r="B696" t="str">
        <f>CHOOSE(MATCH(A696,{"Jan","Feb","Mar","Apr","May","Jun","Jul","Aug","Sep","Oct","Nov","Dec"},0), "Q1","Q1","Q1", "Q2","Q2","Q2", "Q3","Q3","Q3", "Q4","Q4","Q4")</f>
        <v>Q4</v>
      </c>
      <c r="C696" t="s">
        <v>23</v>
      </c>
      <c r="D696" t="s">
        <v>32</v>
      </c>
      <c r="E696" t="s">
        <v>60</v>
      </c>
      <c r="F696" s="4">
        <v>1620</v>
      </c>
      <c r="G696" s="4">
        <v>1450</v>
      </c>
      <c r="H696" s="7">
        <f t="shared" si="30"/>
        <v>-170</v>
      </c>
      <c r="I696" s="9">
        <f t="shared" si="31"/>
        <v>-0.10493827160493827</v>
      </c>
      <c r="J696" t="str">
        <f t="shared" si="32"/>
        <v>Favourable</v>
      </c>
    </row>
    <row r="697" spans="1:10" x14ac:dyDescent="0.5">
      <c r="A697" t="s">
        <v>17</v>
      </c>
      <c r="B697" t="str">
        <f>CHOOSE(MATCH(A697,{"Jan","Feb","Mar","Apr","May","Jun","Jul","Aug","Sep","Oct","Nov","Dec"},0), "Q1","Q1","Q1", "Q2","Q2","Q2", "Q3","Q3","Q3", "Q4","Q4","Q4")</f>
        <v>Q4</v>
      </c>
      <c r="C697" t="s">
        <v>23</v>
      </c>
      <c r="D697" t="s">
        <v>32</v>
      </c>
      <c r="E697" t="s">
        <v>60</v>
      </c>
      <c r="F697" s="4">
        <v>2370</v>
      </c>
      <c r="G697" s="4">
        <v>2627</v>
      </c>
      <c r="H697" s="7">
        <f t="shared" si="30"/>
        <v>257</v>
      </c>
      <c r="I697" s="9">
        <f t="shared" si="31"/>
        <v>0.10843881856540084</v>
      </c>
      <c r="J697" t="str">
        <f t="shared" si="32"/>
        <v>Unfavourable</v>
      </c>
    </row>
    <row r="698" spans="1:10" x14ac:dyDescent="0.5">
      <c r="A698" t="s">
        <v>4</v>
      </c>
      <c r="B698" t="str">
        <f>CHOOSE(MATCH(A698,{"Jan","Feb","Mar","Apr","May","Jun","Jul","Aug","Sep","Oct","Nov","Dec"},0), "Q1","Q1","Q1", "Q2","Q2","Q2", "Q3","Q3","Q3", "Q4","Q4","Q4")</f>
        <v>Q1</v>
      </c>
      <c r="C698" t="s">
        <v>23</v>
      </c>
      <c r="D698" t="s">
        <v>25</v>
      </c>
      <c r="E698" t="s">
        <v>63</v>
      </c>
      <c r="F698" s="4">
        <v>34000</v>
      </c>
      <c r="G698" s="4">
        <v>34373</v>
      </c>
      <c r="H698" s="7">
        <f t="shared" si="30"/>
        <v>373</v>
      </c>
      <c r="I698" s="9">
        <f t="shared" si="31"/>
        <v>1.0970588235294117E-2</v>
      </c>
      <c r="J698" t="str">
        <f t="shared" si="32"/>
        <v>Unfavourable</v>
      </c>
    </row>
    <row r="699" spans="1:10" x14ac:dyDescent="0.5">
      <c r="A699" t="s">
        <v>7</v>
      </c>
      <c r="B699" t="str">
        <f>CHOOSE(MATCH(A699,{"Jan","Feb","Mar","Apr","May","Jun","Jul","Aug","Sep","Oct","Nov","Dec"},0), "Q1","Q1","Q1", "Q2","Q2","Q2", "Q3","Q3","Q3", "Q4","Q4","Q4")</f>
        <v>Q1</v>
      </c>
      <c r="C699" t="s">
        <v>23</v>
      </c>
      <c r="D699" t="s">
        <v>25</v>
      </c>
      <c r="E699" t="s">
        <v>63</v>
      </c>
      <c r="F699" s="4">
        <v>32800</v>
      </c>
      <c r="G699" s="4">
        <v>32536</v>
      </c>
      <c r="H699" s="7">
        <f t="shared" si="30"/>
        <v>-264</v>
      </c>
      <c r="I699" s="9">
        <f t="shared" si="31"/>
        <v>-8.0487804878048783E-3</v>
      </c>
      <c r="J699" t="str">
        <f t="shared" si="32"/>
        <v>Favourable</v>
      </c>
    </row>
    <row r="700" spans="1:10" x14ac:dyDescent="0.5">
      <c r="A700" t="s">
        <v>8</v>
      </c>
      <c r="B700" t="str">
        <f>CHOOSE(MATCH(A700,{"Jan","Feb","Mar","Apr","May","Jun","Jul","Aug","Sep","Oct","Nov","Dec"},0), "Q1","Q1","Q1", "Q2","Q2","Q2", "Q3","Q3","Q3", "Q4","Q4","Q4")</f>
        <v>Q1</v>
      </c>
      <c r="C700" t="s">
        <v>23</v>
      </c>
      <c r="D700" t="s">
        <v>25</v>
      </c>
      <c r="E700" t="s">
        <v>63</v>
      </c>
      <c r="F700" s="4">
        <v>36800</v>
      </c>
      <c r="G700" s="4">
        <v>37511</v>
      </c>
      <c r="H700" s="7">
        <f t="shared" si="30"/>
        <v>711</v>
      </c>
      <c r="I700" s="9">
        <f t="shared" si="31"/>
        <v>1.9320652173913044E-2</v>
      </c>
      <c r="J700" t="str">
        <f t="shared" si="32"/>
        <v>Unfavourable</v>
      </c>
    </row>
    <row r="701" spans="1:10" x14ac:dyDescent="0.5">
      <c r="A701" t="s">
        <v>9</v>
      </c>
      <c r="B701" t="str">
        <f>CHOOSE(MATCH(A701,{"Jan","Feb","Mar","Apr","May","Jun","Jul","Aug","Sep","Oct","Nov","Dec"},0), "Q1","Q1","Q1", "Q2","Q2","Q2", "Q3","Q3","Q3", "Q4","Q4","Q4")</f>
        <v>Q2</v>
      </c>
      <c r="C701" t="s">
        <v>23</v>
      </c>
      <c r="D701" t="s">
        <v>25</v>
      </c>
      <c r="E701" t="s">
        <v>63</v>
      </c>
      <c r="F701" s="4">
        <v>38000</v>
      </c>
      <c r="G701" s="4">
        <v>38356</v>
      </c>
      <c r="H701" s="7">
        <f t="shared" si="30"/>
        <v>356</v>
      </c>
      <c r="I701" s="9">
        <f t="shared" si="31"/>
        <v>9.3684210526315797E-3</v>
      </c>
      <c r="J701" t="str">
        <f t="shared" si="32"/>
        <v>Unfavourable</v>
      </c>
    </row>
    <row r="702" spans="1:10" x14ac:dyDescent="0.5">
      <c r="A702" t="s">
        <v>10</v>
      </c>
      <c r="B702" t="str">
        <f>CHOOSE(MATCH(A702,{"Jan","Feb","Mar","Apr","May","Jun","Jul","Aug","Sep","Oct","Nov","Dec"},0), "Q1","Q1","Q1", "Q2","Q2","Q2", "Q3","Q3","Q3", "Q4","Q4","Q4")</f>
        <v>Q2</v>
      </c>
      <c r="C702" t="s">
        <v>23</v>
      </c>
      <c r="D702" t="s">
        <v>25</v>
      </c>
      <c r="E702" t="s">
        <v>63</v>
      </c>
      <c r="F702" s="4">
        <v>40000</v>
      </c>
      <c r="G702" s="4">
        <v>40031</v>
      </c>
      <c r="H702" s="7">
        <f t="shared" si="30"/>
        <v>31</v>
      </c>
      <c r="I702" s="9">
        <f t="shared" si="31"/>
        <v>7.7499999999999997E-4</v>
      </c>
      <c r="J702" t="str">
        <f t="shared" si="32"/>
        <v>Unfavourable</v>
      </c>
    </row>
    <row r="703" spans="1:10" x14ac:dyDescent="0.5">
      <c r="A703" t="s">
        <v>11</v>
      </c>
      <c r="B703" t="str">
        <f>CHOOSE(MATCH(A703,{"Jan","Feb","Mar","Apr","May","Jun","Jul","Aug","Sep","Oct","Nov","Dec"},0), "Q1","Q1","Q1", "Q2","Q2","Q2", "Q3","Q3","Q3", "Q4","Q4","Q4")</f>
        <v>Q2</v>
      </c>
      <c r="C703" t="s">
        <v>23</v>
      </c>
      <c r="D703" t="s">
        <v>25</v>
      </c>
      <c r="E703" t="s">
        <v>63</v>
      </c>
      <c r="F703" s="4">
        <v>40800</v>
      </c>
      <c r="G703" s="4">
        <v>40567</v>
      </c>
      <c r="H703" s="7">
        <f t="shared" si="30"/>
        <v>-233</v>
      </c>
      <c r="I703" s="9">
        <f t="shared" si="31"/>
        <v>-5.71078431372549E-3</v>
      </c>
      <c r="J703" t="str">
        <f t="shared" si="32"/>
        <v>Favourable</v>
      </c>
    </row>
    <row r="704" spans="1:10" x14ac:dyDescent="0.5">
      <c r="A704" t="s">
        <v>12</v>
      </c>
      <c r="B704" t="str">
        <f>CHOOSE(MATCH(A704,{"Jan","Feb","Mar","Apr","May","Jun","Jul","Aug","Sep","Oct","Nov","Dec"},0), "Q1","Q1","Q1", "Q2","Q2","Q2", "Q3","Q3","Q3", "Q4","Q4","Q4")</f>
        <v>Q3</v>
      </c>
      <c r="C704" t="s">
        <v>23</v>
      </c>
      <c r="D704" t="s">
        <v>25</v>
      </c>
      <c r="E704" t="s">
        <v>63</v>
      </c>
      <c r="F704" s="4">
        <v>35200</v>
      </c>
      <c r="G704" s="4">
        <v>35186</v>
      </c>
      <c r="H704" s="7">
        <f t="shared" si="30"/>
        <v>-14</v>
      </c>
      <c r="I704" s="9">
        <f t="shared" si="31"/>
        <v>-3.9772727272727274E-4</v>
      </c>
      <c r="J704" t="str">
        <f t="shared" si="32"/>
        <v>Favourable</v>
      </c>
    </row>
    <row r="705" spans="1:10" x14ac:dyDescent="0.5">
      <c r="A705" t="s">
        <v>13</v>
      </c>
      <c r="B705" t="str">
        <f>CHOOSE(MATCH(A705,{"Jan","Feb","Mar","Apr","May","Jun","Jul","Aug","Sep","Oct","Nov","Dec"},0), "Q1","Q1","Q1", "Q2","Q2","Q2", "Q3","Q3","Q3", "Q4","Q4","Q4")</f>
        <v>Q3</v>
      </c>
      <c r="C705" t="s">
        <v>23</v>
      </c>
      <c r="D705" t="s">
        <v>25</v>
      </c>
      <c r="E705" t="s">
        <v>63</v>
      </c>
      <c r="F705" s="4">
        <v>34000</v>
      </c>
      <c r="G705" s="4">
        <v>33931</v>
      </c>
      <c r="H705" s="7">
        <f t="shared" si="30"/>
        <v>-69</v>
      </c>
      <c r="I705" s="9">
        <f t="shared" si="31"/>
        <v>-2.0294117647058824E-3</v>
      </c>
      <c r="J705" t="str">
        <f t="shared" si="32"/>
        <v>Favourable</v>
      </c>
    </row>
    <row r="706" spans="1:10" x14ac:dyDescent="0.5">
      <c r="A706" t="s">
        <v>14</v>
      </c>
      <c r="B706" t="str">
        <f>CHOOSE(MATCH(A706,{"Jan","Feb","Mar","Apr","May","Jun","Jul","Aug","Sep","Oct","Nov","Dec"},0), "Q1","Q1","Q1", "Q2","Q2","Q2", "Q3","Q3","Q3", "Q4","Q4","Q4")</f>
        <v>Q3</v>
      </c>
      <c r="C706" t="s">
        <v>23</v>
      </c>
      <c r="D706" t="s">
        <v>25</v>
      </c>
      <c r="E706" t="s">
        <v>63</v>
      </c>
      <c r="F706" s="4">
        <v>40000</v>
      </c>
      <c r="G706" s="4">
        <v>40511</v>
      </c>
      <c r="H706" s="7">
        <f t="shared" si="30"/>
        <v>511</v>
      </c>
      <c r="I706" s="9">
        <f t="shared" si="31"/>
        <v>1.2775E-2</v>
      </c>
      <c r="J706" t="str">
        <f t="shared" si="32"/>
        <v>Unfavourable</v>
      </c>
    </row>
    <row r="707" spans="1:10" x14ac:dyDescent="0.5">
      <c r="A707" t="s">
        <v>15</v>
      </c>
      <c r="B707" t="str">
        <f>CHOOSE(MATCH(A707,{"Jan","Feb","Mar","Apr","May","Jun","Jul","Aug","Sep","Oct","Nov","Dec"},0), "Q1","Q1","Q1", "Q2","Q2","Q2", "Q3","Q3","Q3", "Q4","Q4","Q4")</f>
        <v>Q4</v>
      </c>
      <c r="C707" t="s">
        <v>23</v>
      </c>
      <c r="D707" t="s">
        <v>25</v>
      </c>
      <c r="E707" t="s">
        <v>63</v>
      </c>
      <c r="F707" s="4">
        <v>42000</v>
      </c>
      <c r="G707" s="4">
        <v>41362</v>
      </c>
      <c r="H707" s="7">
        <f t="shared" ref="H707:H770" si="33">G707-F707</f>
        <v>-638</v>
      </c>
      <c r="I707" s="9">
        <f t="shared" ref="I707:I770" si="34">SUM(G707-F707)/F707</f>
        <v>-1.519047619047619E-2</v>
      </c>
      <c r="J707" t="str">
        <f t="shared" ref="J707:J770" si="35">IF(C707="Revenue",IF(G707&gt;F707,"Favourable","Unfavourable"),IF(G707&lt;F707,"Favourable","Unfavourable"))</f>
        <v>Favourable</v>
      </c>
    </row>
    <row r="708" spans="1:10" x14ac:dyDescent="0.5">
      <c r="A708" t="s">
        <v>16</v>
      </c>
      <c r="B708" t="str">
        <f>CHOOSE(MATCH(A708,{"Jan","Feb","Mar","Apr","May","Jun","Jul","Aug","Sep","Oct","Nov","Dec"},0), "Q1","Q1","Q1", "Q2","Q2","Q2", "Q3","Q3","Q3", "Q4","Q4","Q4")</f>
        <v>Q4</v>
      </c>
      <c r="C708" t="s">
        <v>23</v>
      </c>
      <c r="D708" t="s">
        <v>25</v>
      </c>
      <c r="E708" t="s">
        <v>63</v>
      </c>
      <c r="F708" s="4">
        <v>43200</v>
      </c>
      <c r="G708" s="4">
        <v>43379</v>
      </c>
      <c r="H708" s="7">
        <f t="shared" si="33"/>
        <v>179</v>
      </c>
      <c r="I708" s="9">
        <f t="shared" si="34"/>
        <v>4.1435185185185186E-3</v>
      </c>
      <c r="J708" t="str">
        <f t="shared" si="35"/>
        <v>Unfavourable</v>
      </c>
    </row>
    <row r="709" spans="1:10" x14ac:dyDescent="0.5">
      <c r="A709" t="s">
        <v>17</v>
      </c>
      <c r="B709" t="str">
        <f>CHOOSE(MATCH(A709,{"Jan","Feb","Mar","Apr","May","Jun","Jul","Aug","Sep","Oct","Nov","Dec"},0), "Q1","Q1","Q1", "Q2","Q2","Q2", "Q3","Q3","Q3", "Q4","Q4","Q4")</f>
        <v>Q4</v>
      </c>
      <c r="C709" t="s">
        <v>23</v>
      </c>
      <c r="D709" t="s">
        <v>25</v>
      </c>
      <c r="E709" t="s">
        <v>63</v>
      </c>
      <c r="F709" s="4">
        <v>63200</v>
      </c>
      <c r="G709" s="4">
        <v>63228</v>
      </c>
      <c r="H709" s="7">
        <f t="shared" si="33"/>
        <v>28</v>
      </c>
      <c r="I709" s="9">
        <f t="shared" si="34"/>
        <v>4.4303797468354429E-4</v>
      </c>
      <c r="J709" t="str">
        <f t="shared" si="35"/>
        <v>Unfavourable</v>
      </c>
    </row>
    <row r="710" spans="1:10" x14ac:dyDescent="0.5">
      <c r="A710" t="s">
        <v>4</v>
      </c>
      <c r="B710" t="str">
        <f>CHOOSE(MATCH(A710,{"Jan","Feb","Mar","Apr","May","Jun","Jul","Aug","Sep","Oct","Nov","Dec"},0), "Q1","Q1","Q1", "Q2","Q2","Q2", "Q3","Q3","Q3", "Q4","Q4","Q4")</f>
        <v>Q1</v>
      </c>
      <c r="C710" t="s">
        <v>23</v>
      </c>
      <c r="D710" t="s">
        <v>64</v>
      </c>
      <c r="E710" t="s">
        <v>63</v>
      </c>
      <c r="F710" s="4">
        <v>11333</v>
      </c>
      <c r="G710" s="4">
        <v>11104</v>
      </c>
      <c r="H710" s="7">
        <f t="shared" si="33"/>
        <v>-229</v>
      </c>
      <c r="I710" s="9">
        <f t="shared" si="34"/>
        <v>-2.0206476661078266E-2</v>
      </c>
      <c r="J710" t="str">
        <f t="shared" si="35"/>
        <v>Favourable</v>
      </c>
    </row>
    <row r="711" spans="1:10" x14ac:dyDescent="0.5">
      <c r="A711" t="s">
        <v>7</v>
      </c>
      <c r="B711" t="str">
        <f>CHOOSE(MATCH(A711,{"Jan","Feb","Mar","Apr","May","Jun","Jul","Aug","Sep","Oct","Nov","Dec"},0), "Q1","Q1","Q1", "Q2","Q2","Q2", "Q3","Q3","Q3", "Q4","Q4","Q4")</f>
        <v>Q1</v>
      </c>
      <c r="C711" t="s">
        <v>23</v>
      </c>
      <c r="D711" t="s">
        <v>64</v>
      </c>
      <c r="E711" t="s">
        <v>63</v>
      </c>
      <c r="F711" s="4">
        <v>10933</v>
      </c>
      <c r="G711" s="4">
        <v>11887</v>
      </c>
      <c r="H711" s="7">
        <f t="shared" si="33"/>
        <v>954</v>
      </c>
      <c r="I711" s="9">
        <f t="shared" si="34"/>
        <v>8.7258757888960023E-2</v>
      </c>
      <c r="J711" t="str">
        <f t="shared" si="35"/>
        <v>Unfavourable</v>
      </c>
    </row>
    <row r="712" spans="1:10" x14ac:dyDescent="0.5">
      <c r="A712" t="s">
        <v>8</v>
      </c>
      <c r="B712" t="str">
        <f>CHOOSE(MATCH(A712,{"Jan","Feb","Mar","Apr","May","Jun","Jul","Aug","Sep","Oct","Nov","Dec"},0), "Q1","Q1","Q1", "Q2","Q2","Q2", "Q3","Q3","Q3", "Q4","Q4","Q4")</f>
        <v>Q1</v>
      </c>
      <c r="C712" t="s">
        <v>23</v>
      </c>
      <c r="D712" t="s">
        <v>64</v>
      </c>
      <c r="E712" t="s">
        <v>63</v>
      </c>
      <c r="F712" s="4">
        <v>12267</v>
      </c>
      <c r="G712" s="4">
        <v>11820</v>
      </c>
      <c r="H712" s="7">
        <f t="shared" si="33"/>
        <v>-447</v>
      </c>
      <c r="I712" s="9">
        <f t="shared" si="34"/>
        <v>-3.643922719491318E-2</v>
      </c>
      <c r="J712" t="str">
        <f t="shared" si="35"/>
        <v>Favourable</v>
      </c>
    </row>
    <row r="713" spans="1:10" x14ac:dyDescent="0.5">
      <c r="A713" t="s">
        <v>9</v>
      </c>
      <c r="B713" t="str">
        <f>CHOOSE(MATCH(A713,{"Jan","Feb","Mar","Apr","May","Jun","Jul","Aug","Sep","Oct","Nov","Dec"},0), "Q1","Q1","Q1", "Q2","Q2","Q2", "Q3","Q3","Q3", "Q4","Q4","Q4")</f>
        <v>Q2</v>
      </c>
      <c r="C713" t="s">
        <v>23</v>
      </c>
      <c r="D713" t="s">
        <v>64</v>
      </c>
      <c r="E713" t="s">
        <v>63</v>
      </c>
      <c r="F713" s="4">
        <v>12667</v>
      </c>
      <c r="G713" s="4">
        <v>12299</v>
      </c>
      <c r="H713" s="7">
        <f t="shared" si="33"/>
        <v>-368</v>
      </c>
      <c r="I713" s="9">
        <f t="shared" si="34"/>
        <v>-2.9051867056130103E-2</v>
      </c>
      <c r="J713" t="str">
        <f t="shared" si="35"/>
        <v>Favourable</v>
      </c>
    </row>
    <row r="714" spans="1:10" x14ac:dyDescent="0.5">
      <c r="A714" t="s">
        <v>10</v>
      </c>
      <c r="B714" t="str">
        <f>CHOOSE(MATCH(A714,{"Jan","Feb","Mar","Apr","May","Jun","Jul","Aug","Sep","Oct","Nov","Dec"},0), "Q1","Q1","Q1", "Q2","Q2","Q2", "Q3","Q3","Q3", "Q4","Q4","Q4")</f>
        <v>Q2</v>
      </c>
      <c r="C714" t="s">
        <v>23</v>
      </c>
      <c r="D714" t="s">
        <v>64</v>
      </c>
      <c r="E714" t="s">
        <v>63</v>
      </c>
      <c r="F714" s="4">
        <v>13333</v>
      </c>
      <c r="G714" s="4">
        <v>12726</v>
      </c>
      <c r="H714" s="7">
        <f t="shared" si="33"/>
        <v>-607</v>
      </c>
      <c r="I714" s="9">
        <f t="shared" si="34"/>
        <v>-4.5526138153453834E-2</v>
      </c>
      <c r="J714" t="str">
        <f t="shared" si="35"/>
        <v>Favourable</v>
      </c>
    </row>
    <row r="715" spans="1:10" x14ac:dyDescent="0.5">
      <c r="A715" t="s">
        <v>11</v>
      </c>
      <c r="B715" t="str">
        <f>CHOOSE(MATCH(A715,{"Jan","Feb","Mar","Apr","May","Jun","Jul","Aug","Sep","Oct","Nov","Dec"},0), "Q1","Q1","Q1", "Q2","Q2","Q2", "Q3","Q3","Q3", "Q4","Q4","Q4")</f>
        <v>Q2</v>
      </c>
      <c r="C715" t="s">
        <v>23</v>
      </c>
      <c r="D715" t="s">
        <v>64</v>
      </c>
      <c r="E715" t="s">
        <v>63</v>
      </c>
      <c r="F715" s="4">
        <v>13600</v>
      </c>
      <c r="G715" s="4">
        <v>12883</v>
      </c>
      <c r="H715" s="7">
        <f t="shared" si="33"/>
        <v>-717</v>
      </c>
      <c r="I715" s="9">
        <f t="shared" si="34"/>
        <v>-5.2720588235294116E-2</v>
      </c>
      <c r="J715" t="str">
        <f t="shared" si="35"/>
        <v>Favourable</v>
      </c>
    </row>
    <row r="716" spans="1:10" x14ac:dyDescent="0.5">
      <c r="A716" t="s">
        <v>12</v>
      </c>
      <c r="B716" t="str">
        <f>CHOOSE(MATCH(A716,{"Jan","Feb","Mar","Apr","May","Jun","Jul","Aug","Sep","Oct","Nov","Dec"},0), "Q1","Q1","Q1", "Q2","Q2","Q2", "Q3","Q3","Q3", "Q4","Q4","Q4")</f>
        <v>Q3</v>
      </c>
      <c r="C716" t="s">
        <v>23</v>
      </c>
      <c r="D716" t="s">
        <v>64</v>
      </c>
      <c r="E716" t="s">
        <v>63</v>
      </c>
      <c r="F716" s="4">
        <v>11733</v>
      </c>
      <c r="G716" s="4">
        <v>11322</v>
      </c>
      <c r="H716" s="7">
        <f t="shared" si="33"/>
        <v>-411</v>
      </c>
      <c r="I716" s="9">
        <f t="shared" si="34"/>
        <v>-3.5029404244438761E-2</v>
      </c>
      <c r="J716" t="str">
        <f t="shared" si="35"/>
        <v>Favourable</v>
      </c>
    </row>
    <row r="717" spans="1:10" x14ac:dyDescent="0.5">
      <c r="A717" t="s">
        <v>13</v>
      </c>
      <c r="B717" t="str">
        <f>CHOOSE(MATCH(A717,{"Jan","Feb","Mar","Apr","May","Jun","Jul","Aug","Sep","Oct","Nov","Dec"},0), "Q1","Q1","Q1", "Q2","Q2","Q2", "Q3","Q3","Q3", "Q4","Q4","Q4")</f>
        <v>Q3</v>
      </c>
      <c r="C717" t="s">
        <v>23</v>
      </c>
      <c r="D717" t="s">
        <v>64</v>
      </c>
      <c r="E717" t="s">
        <v>63</v>
      </c>
      <c r="F717" s="4">
        <v>11333</v>
      </c>
      <c r="G717" s="4">
        <v>10519</v>
      </c>
      <c r="H717" s="7">
        <f t="shared" si="33"/>
        <v>-814</v>
      </c>
      <c r="I717" s="9">
        <f t="shared" si="34"/>
        <v>-7.1825641930645015E-2</v>
      </c>
      <c r="J717" t="str">
        <f t="shared" si="35"/>
        <v>Favourable</v>
      </c>
    </row>
    <row r="718" spans="1:10" x14ac:dyDescent="0.5">
      <c r="A718" t="s">
        <v>14</v>
      </c>
      <c r="B718" t="str">
        <f>CHOOSE(MATCH(A718,{"Jan","Feb","Mar","Apr","May","Jun","Jul","Aug","Sep","Oct","Nov","Dec"},0), "Q1","Q1","Q1", "Q2","Q2","Q2", "Q3","Q3","Q3", "Q4","Q4","Q4")</f>
        <v>Q3</v>
      </c>
      <c r="C718" t="s">
        <v>23</v>
      </c>
      <c r="D718" t="s">
        <v>64</v>
      </c>
      <c r="E718" t="s">
        <v>63</v>
      </c>
      <c r="F718" s="4">
        <v>13333</v>
      </c>
      <c r="G718" s="4">
        <v>12646</v>
      </c>
      <c r="H718" s="7">
        <f t="shared" si="33"/>
        <v>-687</v>
      </c>
      <c r="I718" s="9">
        <f t="shared" si="34"/>
        <v>-5.1526288157203927E-2</v>
      </c>
      <c r="J718" t="str">
        <f t="shared" si="35"/>
        <v>Favourable</v>
      </c>
    </row>
    <row r="719" spans="1:10" x14ac:dyDescent="0.5">
      <c r="A719" t="s">
        <v>15</v>
      </c>
      <c r="B719" t="str">
        <f>CHOOSE(MATCH(A719,{"Jan","Feb","Mar","Apr","May","Jun","Jul","Aug","Sep","Oct","Nov","Dec"},0), "Q1","Q1","Q1", "Q2","Q2","Q2", "Q3","Q3","Q3", "Q4","Q4","Q4")</f>
        <v>Q4</v>
      </c>
      <c r="C719" t="s">
        <v>23</v>
      </c>
      <c r="D719" t="s">
        <v>64</v>
      </c>
      <c r="E719" t="s">
        <v>63</v>
      </c>
      <c r="F719" s="4">
        <v>14000</v>
      </c>
      <c r="G719" s="4">
        <v>12875</v>
      </c>
      <c r="H719" s="7">
        <f t="shared" si="33"/>
        <v>-1125</v>
      </c>
      <c r="I719" s="9">
        <f t="shared" si="34"/>
        <v>-8.0357142857142863E-2</v>
      </c>
      <c r="J719" t="str">
        <f t="shared" si="35"/>
        <v>Favourable</v>
      </c>
    </row>
    <row r="720" spans="1:10" x14ac:dyDescent="0.5">
      <c r="A720" t="s">
        <v>16</v>
      </c>
      <c r="B720" t="str">
        <f>CHOOSE(MATCH(A720,{"Jan","Feb","Mar","Apr","May","Jun","Jul","Aug","Sep","Oct","Nov","Dec"},0), "Q1","Q1","Q1", "Q2","Q2","Q2", "Q3","Q3","Q3", "Q4","Q4","Q4")</f>
        <v>Q4</v>
      </c>
      <c r="C720" t="s">
        <v>23</v>
      </c>
      <c r="D720" t="s">
        <v>64</v>
      </c>
      <c r="E720" t="s">
        <v>63</v>
      </c>
      <c r="F720" s="4">
        <v>14400</v>
      </c>
      <c r="G720" s="4">
        <v>13322</v>
      </c>
      <c r="H720" s="7">
        <f t="shared" si="33"/>
        <v>-1078</v>
      </c>
      <c r="I720" s="9">
        <f t="shared" si="34"/>
        <v>-7.4861111111111114E-2</v>
      </c>
      <c r="J720" t="str">
        <f t="shared" si="35"/>
        <v>Favourable</v>
      </c>
    </row>
    <row r="721" spans="1:10" x14ac:dyDescent="0.5">
      <c r="A721" t="s">
        <v>17</v>
      </c>
      <c r="B721" t="str">
        <f>CHOOSE(MATCH(A721,{"Jan","Feb","Mar","Apr","May","Jun","Jul","Aug","Sep","Oct","Nov","Dec"},0), "Q1","Q1","Q1", "Q2","Q2","Q2", "Q3","Q3","Q3", "Q4","Q4","Q4")</f>
        <v>Q4</v>
      </c>
      <c r="C721" t="s">
        <v>23</v>
      </c>
      <c r="D721" t="s">
        <v>64</v>
      </c>
      <c r="E721" t="s">
        <v>63</v>
      </c>
      <c r="F721" s="4">
        <v>21067</v>
      </c>
      <c r="G721" s="4">
        <v>19424</v>
      </c>
      <c r="H721" s="7">
        <f t="shared" si="33"/>
        <v>-1643</v>
      </c>
      <c r="I721" s="9">
        <f t="shared" si="34"/>
        <v>-7.7989272321640477E-2</v>
      </c>
      <c r="J721" t="str">
        <f t="shared" si="35"/>
        <v>Favourable</v>
      </c>
    </row>
    <row r="722" spans="1:10" x14ac:dyDescent="0.5">
      <c r="A722" t="s">
        <v>4</v>
      </c>
      <c r="B722" t="str">
        <f>CHOOSE(MATCH(A722,{"Jan","Feb","Mar","Apr","May","Jun","Jul","Aug","Sep","Oct","Nov","Dec"},0), "Q1","Q1","Q1", "Q2","Q2","Q2", "Q3","Q3","Q3", "Q4","Q4","Q4")</f>
        <v>Q1</v>
      </c>
      <c r="C722" t="s">
        <v>23</v>
      </c>
      <c r="D722" t="s">
        <v>65</v>
      </c>
      <c r="E722" t="s">
        <v>63</v>
      </c>
      <c r="F722" s="4">
        <v>4250</v>
      </c>
      <c r="G722" s="4">
        <v>4139</v>
      </c>
      <c r="H722" s="7">
        <f t="shared" si="33"/>
        <v>-111</v>
      </c>
      <c r="I722" s="9">
        <f t="shared" si="34"/>
        <v>-2.611764705882353E-2</v>
      </c>
      <c r="J722" t="str">
        <f t="shared" si="35"/>
        <v>Favourable</v>
      </c>
    </row>
    <row r="723" spans="1:10" x14ac:dyDescent="0.5">
      <c r="A723" t="s">
        <v>7</v>
      </c>
      <c r="B723" t="str">
        <f>CHOOSE(MATCH(A723,{"Jan","Feb","Mar","Apr","May","Jun","Jul","Aug","Sep","Oct","Nov","Dec"},0), "Q1","Q1","Q1", "Q2","Q2","Q2", "Q3","Q3","Q3", "Q4","Q4","Q4")</f>
        <v>Q1</v>
      </c>
      <c r="C723" t="s">
        <v>23</v>
      </c>
      <c r="D723" t="s">
        <v>65</v>
      </c>
      <c r="E723" t="s">
        <v>63</v>
      </c>
      <c r="F723" s="4">
        <v>4100</v>
      </c>
      <c r="G723" s="4">
        <v>3960</v>
      </c>
      <c r="H723" s="7">
        <f t="shared" si="33"/>
        <v>-140</v>
      </c>
      <c r="I723" s="9">
        <f t="shared" si="34"/>
        <v>-3.4146341463414637E-2</v>
      </c>
      <c r="J723" t="str">
        <f t="shared" si="35"/>
        <v>Favourable</v>
      </c>
    </row>
    <row r="724" spans="1:10" x14ac:dyDescent="0.5">
      <c r="A724" t="s">
        <v>8</v>
      </c>
      <c r="B724" t="str">
        <f>CHOOSE(MATCH(A724,{"Jan","Feb","Mar","Apr","May","Jun","Jul","Aug","Sep","Oct","Nov","Dec"},0), "Q1","Q1","Q1", "Q2","Q2","Q2", "Q3","Q3","Q3", "Q4","Q4","Q4")</f>
        <v>Q1</v>
      </c>
      <c r="C724" t="s">
        <v>23</v>
      </c>
      <c r="D724" t="s">
        <v>65</v>
      </c>
      <c r="E724" t="s">
        <v>63</v>
      </c>
      <c r="F724" s="4">
        <v>4600</v>
      </c>
      <c r="G724" s="4">
        <v>4318</v>
      </c>
      <c r="H724" s="7">
        <f t="shared" si="33"/>
        <v>-282</v>
      </c>
      <c r="I724" s="9">
        <f t="shared" si="34"/>
        <v>-6.1304347826086958E-2</v>
      </c>
      <c r="J724" t="str">
        <f t="shared" si="35"/>
        <v>Favourable</v>
      </c>
    </row>
    <row r="725" spans="1:10" x14ac:dyDescent="0.5">
      <c r="A725" t="s">
        <v>9</v>
      </c>
      <c r="B725" t="str">
        <f>CHOOSE(MATCH(A725,{"Jan","Feb","Mar","Apr","May","Jun","Jul","Aug","Sep","Oct","Nov","Dec"},0), "Q1","Q1","Q1", "Q2","Q2","Q2", "Q3","Q3","Q3", "Q4","Q4","Q4")</f>
        <v>Q2</v>
      </c>
      <c r="C725" t="s">
        <v>23</v>
      </c>
      <c r="D725" t="s">
        <v>65</v>
      </c>
      <c r="E725" t="s">
        <v>63</v>
      </c>
      <c r="F725" s="4">
        <v>4750</v>
      </c>
      <c r="G725" s="4">
        <v>4864</v>
      </c>
      <c r="H725" s="7">
        <f t="shared" si="33"/>
        <v>114</v>
      </c>
      <c r="I725" s="9">
        <f t="shared" si="34"/>
        <v>2.4E-2</v>
      </c>
      <c r="J725" t="str">
        <f t="shared" si="35"/>
        <v>Unfavourable</v>
      </c>
    </row>
    <row r="726" spans="1:10" x14ac:dyDescent="0.5">
      <c r="A726" t="s">
        <v>10</v>
      </c>
      <c r="B726" t="str">
        <f>CHOOSE(MATCH(A726,{"Jan","Feb","Mar","Apr","May","Jun","Jul","Aug","Sep","Oct","Nov","Dec"},0), "Q1","Q1","Q1", "Q2","Q2","Q2", "Q3","Q3","Q3", "Q4","Q4","Q4")</f>
        <v>Q2</v>
      </c>
      <c r="C726" t="s">
        <v>23</v>
      </c>
      <c r="D726" t="s">
        <v>65</v>
      </c>
      <c r="E726" t="s">
        <v>63</v>
      </c>
      <c r="F726" s="4">
        <v>5000</v>
      </c>
      <c r="G726" s="4">
        <v>4988</v>
      </c>
      <c r="H726" s="7">
        <f t="shared" si="33"/>
        <v>-12</v>
      </c>
      <c r="I726" s="9">
        <f t="shared" si="34"/>
        <v>-2.3999999999999998E-3</v>
      </c>
      <c r="J726" t="str">
        <f t="shared" si="35"/>
        <v>Favourable</v>
      </c>
    </row>
    <row r="727" spans="1:10" x14ac:dyDescent="0.5">
      <c r="A727" t="s">
        <v>11</v>
      </c>
      <c r="B727" t="str">
        <f>CHOOSE(MATCH(A727,{"Jan","Feb","Mar","Apr","May","Jun","Jul","Aug","Sep","Oct","Nov","Dec"},0), "Q1","Q1","Q1", "Q2","Q2","Q2", "Q3","Q3","Q3", "Q4","Q4","Q4")</f>
        <v>Q2</v>
      </c>
      <c r="C727" t="s">
        <v>23</v>
      </c>
      <c r="D727" t="s">
        <v>65</v>
      </c>
      <c r="E727" t="s">
        <v>63</v>
      </c>
      <c r="F727" s="4">
        <v>5100</v>
      </c>
      <c r="G727" s="4">
        <v>4990</v>
      </c>
      <c r="H727" s="7">
        <f t="shared" si="33"/>
        <v>-110</v>
      </c>
      <c r="I727" s="9">
        <f t="shared" si="34"/>
        <v>-2.1568627450980392E-2</v>
      </c>
      <c r="J727" t="str">
        <f t="shared" si="35"/>
        <v>Favourable</v>
      </c>
    </row>
    <row r="728" spans="1:10" x14ac:dyDescent="0.5">
      <c r="A728" t="s">
        <v>12</v>
      </c>
      <c r="B728" t="str">
        <f>CHOOSE(MATCH(A728,{"Jan","Feb","Mar","Apr","May","Jun","Jul","Aug","Sep","Oct","Nov","Dec"},0), "Q1","Q1","Q1", "Q2","Q2","Q2", "Q3","Q3","Q3", "Q4","Q4","Q4")</f>
        <v>Q3</v>
      </c>
      <c r="C728" t="s">
        <v>23</v>
      </c>
      <c r="D728" t="s">
        <v>65</v>
      </c>
      <c r="E728" t="s">
        <v>63</v>
      </c>
      <c r="F728" s="4">
        <v>4400</v>
      </c>
      <c r="G728" s="4">
        <v>4298</v>
      </c>
      <c r="H728" s="7">
        <f t="shared" si="33"/>
        <v>-102</v>
      </c>
      <c r="I728" s="9">
        <f t="shared" si="34"/>
        <v>-2.3181818181818182E-2</v>
      </c>
      <c r="J728" t="str">
        <f t="shared" si="35"/>
        <v>Favourable</v>
      </c>
    </row>
    <row r="729" spans="1:10" x14ac:dyDescent="0.5">
      <c r="A729" t="s">
        <v>13</v>
      </c>
      <c r="B729" t="str">
        <f>CHOOSE(MATCH(A729,{"Jan","Feb","Mar","Apr","May","Jun","Jul","Aug","Sep","Oct","Nov","Dec"},0), "Q1","Q1","Q1", "Q2","Q2","Q2", "Q3","Q3","Q3", "Q4","Q4","Q4")</f>
        <v>Q3</v>
      </c>
      <c r="C729" t="s">
        <v>23</v>
      </c>
      <c r="D729" t="s">
        <v>65</v>
      </c>
      <c r="E729" t="s">
        <v>63</v>
      </c>
      <c r="F729" s="4">
        <v>4250</v>
      </c>
      <c r="G729" s="4">
        <v>4588</v>
      </c>
      <c r="H729" s="7">
        <f t="shared" si="33"/>
        <v>338</v>
      </c>
      <c r="I729" s="9">
        <f t="shared" si="34"/>
        <v>7.9529411764705876E-2</v>
      </c>
      <c r="J729" t="str">
        <f t="shared" si="35"/>
        <v>Unfavourable</v>
      </c>
    </row>
    <row r="730" spans="1:10" x14ac:dyDescent="0.5">
      <c r="A730" t="s">
        <v>14</v>
      </c>
      <c r="B730" t="str">
        <f>CHOOSE(MATCH(A730,{"Jan","Feb","Mar","Apr","May","Jun","Jul","Aug","Sep","Oct","Nov","Dec"},0), "Q1","Q1","Q1", "Q2","Q2","Q2", "Q3","Q3","Q3", "Q4","Q4","Q4")</f>
        <v>Q3</v>
      </c>
      <c r="C730" t="s">
        <v>23</v>
      </c>
      <c r="D730" t="s">
        <v>65</v>
      </c>
      <c r="E730" t="s">
        <v>63</v>
      </c>
      <c r="F730" s="4">
        <v>5000</v>
      </c>
      <c r="G730" s="4">
        <v>5060</v>
      </c>
      <c r="H730" s="7">
        <f t="shared" si="33"/>
        <v>60</v>
      </c>
      <c r="I730" s="9">
        <f t="shared" si="34"/>
        <v>1.2E-2</v>
      </c>
      <c r="J730" t="str">
        <f t="shared" si="35"/>
        <v>Unfavourable</v>
      </c>
    </row>
    <row r="731" spans="1:10" x14ac:dyDescent="0.5">
      <c r="A731" t="s">
        <v>15</v>
      </c>
      <c r="B731" t="str">
        <f>CHOOSE(MATCH(A731,{"Jan","Feb","Mar","Apr","May","Jun","Jul","Aug","Sep","Oct","Nov","Dec"},0), "Q1","Q1","Q1", "Q2","Q2","Q2", "Q3","Q3","Q3", "Q4","Q4","Q4")</f>
        <v>Q4</v>
      </c>
      <c r="C731" t="s">
        <v>23</v>
      </c>
      <c r="D731" t="s">
        <v>65</v>
      </c>
      <c r="E731" t="s">
        <v>63</v>
      </c>
      <c r="F731" s="4">
        <v>5250</v>
      </c>
      <c r="G731" s="4">
        <v>5375</v>
      </c>
      <c r="H731" s="7">
        <f t="shared" si="33"/>
        <v>125</v>
      </c>
      <c r="I731" s="9">
        <f t="shared" si="34"/>
        <v>2.3809523809523808E-2</v>
      </c>
      <c r="J731" t="str">
        <f t="shared" si="35"/>
        <v>Unfavourable</v>
      </c>
    </row>
    <row r="732" spans="1:10" x14ac:dyDescent="0.5">
      <c r="A732" t="s">
        <v>16</v>
      </c>
      <c r="B732" t="str">
        <f>CHOOSE(MATCH(A732,{"Jan","Feb","Mar","Apr","May","Jun","Jul","Aug","Sep","Oct","Nov","Dec"},0), "Q1","Q1","Q1", "Q2","Q2","Q2", "Q3","Q3","Q3", "Q4","Q4","Q4")</f>
        <v>Q4</v>
      </c>
      <c r="C732" t="s">
        <v>23</v>
      </c>
      <c r="D732" t="s">
        <v>65</v>
      </c>
      <c r="E732" t="s">
        <v>63</v>
      </c>
      <c r="F732" s="4">
        <v>5400</v>
      </c>
      <c r="G732" s="4">
        <v>4702</v>
      </c>
      <c r="H732" s="7">
        <f t="shared" si="33"/>
        <v>-698</v>
      </c>
      <c r="I732" s="9">
        <f t="shared" si="34"/>
        <v>-0.12925925925925927</v>
      </c>
      <c r="J732" t="str">
        <f t="shared" si="35"/>
        <v>Favourable</v>
      </c>
    </row>
    <row r="733" spans="1:10" x14ac:dyDescent="0.5">
      <c r="A733" t="s">
        <v>17</v>
      </c>
      <c r="B733" t="str">
        <f>CHOOSE(MATCH(A733,{"Jan","Feb","Mar","Apr","May","Jun","Jul","Aug","Sep","Oct","Nov","Dec"},0), "Q1","Q1","Q1", "Q2","Q2","Q2", "Q3","Q3","Q3", "Q4","Q4","Q4")</f>
        <v>Q4</v>
      </c>
      <c r="C733" t="s">
        <v>23</v>
      </c>
      <c r="D733" t="s">
        <v>65</v>
      </c>
      <c r="E733" t="s">
        <v>63</v>
      </c>
      <c r="F733" s="4">
        <v>7900</v>
      </c>
      <c r="G733" s="4">
        <v>7642</v>
      </c>
      <c r="H733" s="7">
        <f t="shared" si="33"/>
        <v>-258</v>
      </c>
      <c r="I733" s="9">
        <f t="shared" si="34"/>
        <v>-3.2658227848101268E-2</v>
      </c>
      <c r="J733" t="str">
        <f t="shared" si="35"/>
        <v>Favourable</v>
      </c>
    </row>
    <row r="734" spans="1:10" x14ac:dyDescent="0.5">
      <c r="A734" t="s">
        <v>4</v>
      </c>
      <c r="B734" t="str">
        <f>CHOOSE(MATCH(A734,{"Jan","Feb","Mar","Apr","May","Jun","Jul","Aug","Sep","Oct","Nov","Dec"},0), "Q1","Q1","Q1", "Q2","Q2","Q2", "Q3","Q3","Q3", "Q4","Q4","Q4")</f>
        <v>Q1</v>
      </c>
      <c r="C734" t="s">
        <v>23</v>
      </c>
      <c r="D734" t="s">
        <v>37</v>
      </c>
      <c r="E734" t="s">
        <v>63</v>
      </c>
      <c r="F734" s="4">
        <v>3400</v>
      </c>
      <c r="G734" s="4">
        <v>3031</v>
      </c>
      <c r="H734" s="7">
        <f t="shared" si="33"/>
        <v>-369</v>
      </c>
      <c r="I734" s="9">
        <f t="shared" si="34"/>
        <v>-0.10852941176470589</v>
      </c>
      <c r="J734" t="str">
        <f t="shared" si="35"/>
        <v>Favourable</v>
      </c>
    </row>
    <row r="735" spans="1:10" x14ac:dyDescent="0.5">
      <c r="A735" t="s">
        <v>7</v>
      </c>
      <c r="B735" t="str">
        <f>CHOOSE(MATCH(A735,{"Jan","Feb","Mar","Apr","May","Jun","Jul","Aug","Sep","Oct","Nov","Dec"},0), "Q1","Q1","Q1", "Q2","Q2","Q2", "Q3","Q3","Q3", "Q4","Q4","Q4")</f>
        <v>Q1</v>
      </c>
      <c r="C735" t="s">
        <v>23</v>
      </c>
      <c r="D735" t="s">
        <v>37</v>
      </c>
      <c r="E735" t="s">
        <v>63</v>
      </c>
      <c r="F735" s="4">
        <v>3280</v>
      </c>
      <c r="G735" s="4">
        <v>3210</v>
      </c>
      <c r="H735" s="7">
        <f t="shared" si="33"/>
        <v>-70</v>
      </c>
      <c r="I735" s="9">
        <f t="shared" si="34"/>
        <v>-2.1341463414634148E-2</v>
      </c>
      <c r="J735" t="str">
        <f t="shared" si="35"/>
        <v>Favourable</v>
      </c>
    </row>
    <row r="736" spans="1:10" x14ac:dyDescent="0.5">
      <c r="A736" t="s">
        <v>8</v>
      </c>
      <c r="B736" t="str">
        <f>CHOOSE(MATCH(A736,{"Jan","Feb","Mar","Apr","May","Jun","Jul","Aug","Sep","Oct","Nov","Dec"},0), "Q1","Q1","Q1", "Q2","Q2","Q2", "Q3","Q3","Q3", "Q4","Q4","Q4")</f>
        <v>Q1</v>
      </c>
      <c r="C736" t="s">
        <v>23</v>
      </c>
      <c r="D736" t="s">
        <v>37</v>
      </c>
      <c r="E736" t="s">
        <v>63</v>
      </c>
      <c r="F736" s="4">
        <v>3680</v>
      </c>
      <c r="G736" s="4">
        <v>3749</v>
      </c>
      <c r="H736" s="7">
        <f t="shared" si="33"/>
        <v>69</v>
      </c>
      <c r="I736" s="9">
        <f t="shared" si="34"/>
        <v>1.8749999999999999E-2</v>
      </c>
      <c r="J736" t="str">
        <f t="shared" si="35"/>
        <v>Unfavourable</v>
      </c>
    </row>
    <row r="737" spans="1:10" x14ac:dyDescent="0.5">
      <c r="A737" t="s">
        <v>9</v>
      </c>
      <c r="B737" t="str">
        <f>CHOOSE(MATCH(A737,{"Jan","Feb","Mar","Apr","May","Jun","Jul","Aug","Sep","Oct","Nov","Dec"},0), "Q1","Q1","Q1", "Q2","Q2","Q2", "Q3","Q3","Q3", "Q4","Q4","Q4")</f>
        <v>Q2</v>
      </c>
      <c r="C737" t="s">
        <v>23</v>
      </c>
      <c r="D737" t="s">
        <v>37</v>
      </c>
      <c r="E737" t="s">
        <v>63</v>
      </c>
      <c r="F737" s="4">
        <v>3800</v>
      </c>
      <c r="G737" s="4">
        <v>3672</v>
      </c>
      <c r="H737" s="7">
        <f t="shared" si="33"/>
        <v>-128</v>
      </c>
      <c r="I737" s="9">
        <f t="shared" si="34"/>
        <v>-3.3684210526315789E-2</v>
      </c>
      <c r="J737" t="str">
        <f t="shared" si="35"/>
        <v>Favourable</v>
      </c>
    </row>
    <row r="738" spans="1:10" x14ac:dyDescent="0.5">
      <c r="A738" t="s">
        <v>10</v>
      </c>
      <c r="B738" t="str">
        <f>CHOOSE(MATCH(A738,{"Jan","Feb","Mar","Apr","May","Jun","Jul","Aug","Sep","Oct","Nov","Dec"},0), "Q1","Q1","Q1", "Q2","Q2","Q2", "Q3","Q3","Q3", "Q4","Q4","Q4")</f>
        <v>Q2</v>
      </c>
      <c r="C738" t="s">
        <v>23</v>
      </c>
      <c r="D738" t="s">
        <v>37</v>
      </c>
      <c r="E738" t="s">
        <v>63</v>
      </c>
      <c r="F738" s="4">
        <v>4000</v>
      </c>
      <c r="G738" s="4">
        <v>4104</v>
      </c>
      <c r="H738" s="7">
        <f t="shared" si="33"/>
        <v>104</v>
      </c>
      <c r="I738" s="9">
        <f t="shared" si="34"/>
        <v>2.5999999999999999E-2</v>
      </c>
      <c r="J738" t="str">
        <f t="shared" si="35"/>
        <v>Unfavourable</v>
      </c>
    </row>
    <row r="739" spans="1:10" x14ac:dyDescent="0.5">
      <c r="A739" t="s">
        <v>11</v>
      </c>
      <c r="B739" t="str">
        <f>CHOOSE(MATCH(A739,{"Jan","Feb","Mar","Apr","May","Jun","Jul","Aug","Sep","Oct","Nov","Dec"},0), "Q1","Q1","Q1", "Q2","Q2","Q2", "Q3","Q3","Q3", "Q4","Q4","Q4")</f>
        <v>Q2</v>
      </c>
      <c r="C739" t="s">
        <v>23</v>
      </c>
      <c r="D739" t="s">
        <v>37</v>
      </c>
      <c r="E739" t="s">
        <v>63</v>
      </c>
      <c r="F739" s="4">
        <v>4080</v>
      </c>
      <c r="G739" s="4">
        <v>3871</v>
      </c>
      <c r="H739" s="7">
        <f t="shared" si="33"/>
        <v>-209</v>
      </c>
      <c r="I739" s="9">
        <f t="shared" si="34"/>
        <v>-5.122549019607843E-2</v>
      </c>
      <c r="J739" t="str">
        <f t="shared" si="35"/>
        <v>Favourable</v>
      </c>
    </row>
    <row r="740" spans="1:10" x14ac:dyDescent="0.5">
      <c r="A740" t="s">
        <v>12</v>
      </c>
      <c r="B740" t="str">
        <f>CHOOSE(MATCH(A740,{"Jan","Feb","Mar","Apr","May","Jun","Jul","Aug","Sep","Oct","Nov","Dec"},0), "Q1","Q1","Q1", "Q2","Q2","Q2", "Q3","Q3","Q3", "Q4","Q4","Q4")</f>
        <v>Q3</v>
      </c>
      <c r="C740" t="s">
        <v>23</v>
      </c>
      <c r="D740" t="s">
        <v>37</v>
      </c>
      <c r="E740" t="s">
        <v>63</v>
      </c>
      <c r="F740" s="4">
        <v>3520</v>
      </c>
      <c r="G740" s="4">
        <v>3621</v>
      </c>
      <c r="H740" s="7">
        <f t="shared" si="33"/>
        <v>101</v>
      </c>
      <c r="I740" s="9">
        <f t="shared" si="34"/>
        <v>2.8693181818181819E-2</v>
      </c>
      <c r="J740" t="str">
        <f t="shared" si="35"/>
        <v>Unfavourable</v>
      </c>
    </row>
    <row r="741" spans="1:10" x14ac:dyDescent="0.5">
      <c r="A741" t="s">
        <v>13</v>
      </c>
      <c r="B741" t="str">
        <f>CHOOSE(MATCH(A741,{"Jan","Feb","Mar","Apr","May","Jun","Jul","Aug","Sep","Oct","Nov","Dec"},0), "Q1","Q1","Q1", "Q2","Q2","Q2", "Q3","Q3","Q3", "Q4","Q4","Q4")</f>
        <v>Q3</v>
      </c>
      <c r="C741" t="s">
        <v>23</v>
      </c>
      <c r="D741" t="s">
        <v>37</v>
      </c>
      <c r="E741" t="s">
        <v>63</v>
      </c>
      <c r="F741" s="4">
        <v>3400</v>
      </c>
      <c r="G741" s="4">
        <v>3136</v>
      </c>
      <c r="H741" s="7">
        <f t="shared" si="33"/>
        <v>-264</v>
      </c>
      <c r="I741" s="9">
        <f t="shared" si="34"/>
        <v>-7.7647058823529416E-2</v>
      </c>
      <c r="J741" t="str">
        <f t="shared" si="35"/>
        <v>Favourable</v>
      </c>
    </row>
    <row r="742" spans="1:10" x14ac:dyDescent="0.5">
      <c r="A742" t="s">
        <v>14</v>
      </c>
      <c r="B742" t="str">
        <f>CHOOSE(MATCH(A742,{"Jan","Feb","Mar","Apr","May","Jun","Jul","Aug","Sep","Oct","Nov","Dec"},0), "Q1","Q1","Q1", "Q2","Q2","Q2", "Q3","Q3","Q3", "Q4","Q4","Q4")</f>
        <v>Q3</v>
      </c>
      <c r="C742" t="s">
        <v>23</v>
      </c>
      <c r="D742" t="s">
        <v>37</v>
      </c>
      <c r="E742" t="s">
        <v>63</v>
      </c>
      <c r="F742" s="4">
        <v>4000</v>
      </c>
      <c r="G742" s="4">
        <v>3948</v>
      </c>
      <c r="H742" s="7">
        <f t="shared" si="33"/>
        <v>-52</v>
      </c>
      <c r="I742" s="9">
        <f t="shared" si="34"/>
        <v>-1.2999999999999999E-2</v>
      </c>
      <c r="J742" t="str">
        <f t="shared" si="35"/>
        <v>Favourable</v>
      </c>
    </row>
    <row r="743" spans="1:10" x14ac:dyDescent="0.5">
      <c r="A743" t="s">
        <v>15</v>
      </c>
      <c r="B743" t="str">
        <f>CHOOSE(MATCH(A743,{"Jan","Feb","Mar","Apr","May","Jun","Jul","Aug","Sep","Oct","Nov","Dec"},0), "Q1","Q1","Q1", "Q2","Q2","Q2", "Q3","Q3","Q3", "Q4","Q4","Q4")</f>
        <v>Q4</v>
      </c>
      <c r="C743" t="s">
        <v>23</v>
      </c>
      <c r="D743" t="s">
        <v>37</v>
      </c>
      <c r="E743" t="s">
        <v>63</v>
      </c>
      <c r="F743" s="4">
        <v>4200</v>
      </c>
      <c r="G743" s="4">
        <v>4288</v>
      </c>
      <c r="H743" s="7">
        <f t="shared" si="33"/>
        <v>88</v>
      </c>
      <c r="I743" s="9">
        <f t="shared" si="34"/>
        <v>2.0952380952380951E-2</v>
      </c>
      <c r="J743" t="str">
        <f t="shared" si="35"/>
        <v>Unfavourable</v>
      </c>
    </row>
    <row r="744" spans="1:10" x14ac:dyDescent="0.5">
      <c r="A744" t="s">
        <v>16</v>
      </c>
      <c r="B744" t="str">
        <f>CHOOSE(MATCH(A744,{"Jan","Feb","Mar","Apr","May","Jun","Jul","Aug","Sep","Oct","Nov","Dec"},0), "Q1","Q1","Q1", "Q2","Q2","Q2", "Q3","Q3","Q3", "Q4","Q4","Q4")</f>
        <v>Q4</v>
      </c>
      <c r="C744" t="s">
        <v>23</v>
      </c>
      <c r="D744" t="s">
        <v>37</v>
      </c>
      <c r="E744" t="s">
        <v>63</v>
      </c>
      <c r="F744" s="4">
        <v>4320</v>
      </c>
      <c r="G744" s="4">
        <v>4436</v>
      </c>
      <c r="H744" s="7">
        <f t="shared" si="33"/>
        <v>116</v>
      </c>
      <c r="I744" s="9">
        <f t="shared" si="34"/>
        <v>2.6851851851851852E-2</v>
      </c>
      <c r="J744" t="str">
        <f t="shared" si="35"/>
        <v>Unfavourable</v>
      </c>
    </row>
    <row r="745" spans="1:10" x14ac:dyDescent="0.5">
      <c r="A745" t="s">
        <v>17</v>
      </c>
      <c r="B745" t="str">
        <f>CHOOSE(MATCH(A745,{"Jan","Feb","Mar","Apr","May","Jun","Jul","Aug","Sep","Oct","Nov","Dec"},0), "Q1","Q1","Q1", "Q2","Q2","Q2", "Q3","Q3","Q3", "Q4","Q4","Q4")</f>
        <v>Q4</v>
      </c>
      <c r="C745" t="s">
        <v>23</v>
      </c>
      <c r="D745" t="s">
        <v>37</v>
      </c>
      <c r="E745" t="s">
        <v>63</v>
      </c>
      <c r="F745" s="4">
        <v>6320</v>
      </c>
      <c r="G745" s="4">
        <v>6280</v>
      </c>
      <c r="H745" s="7">
        <f t="shared" si="33"/>
        <v>-40</v>
      </c>
      <c r="I745" s="9">
        <f t="shared" si="34"/>
        <v>-6.3291139240506328E-3</v>
      </c>
      <c r="J745" t="str">
        <f t="shared" si="35"/>
        <v>Favourable</v>
      </c>
    </row>
    <row r="746" spans="1:10" x14ac:dyDescent="0.5">
      <c r="A746" t="s">
        <v>4</v>
      </c>
      <c r="B746" t="str">
        <f>CHOOSE(MATCH(A746,{"Jan","Feb","Mar","Apr","May","Jun","Jul","Aug","Sep","Oct","Nov","Dec"},0), "Q1","Q1","Q1", "Q2","Q2","Q2", "Q3","Q3","Q3", "Q4","Q4","Q4")</f>
        <v>Q1</v>
      </c>
      <c r="C746" t="s">
        <v>23</v>
      </c>
      <c r="D746" t="s">
        <v>32</v>
      </c>
      <c r="E746" t="s">
        <v>63</v>
      </c>
      <c r="F746" s="4">
        <v>708</v>
      </c>
      <c r="G746" s="4">
        <v>673</v>
      </c>
      <c r="H746" s="7">
        <f t="shared" si="33"/>
        <v>-35</v>
      </c>
      <c r="I746" s="9">
        <f t="shared" si="34"/>
        <v>-4.9435028248587573E-2</v>
      </c>
      <c r="J746" t="str">
        <f t="shared" si="35"/>
        <v>Favourable</v>
      </c>
    </row>
    <row r="747" spans="1:10" x14ac:dyDescent="0.5">
      <c r="A747" t="s">
        <v>7</v>
      </c>
      <c r="B747" t="str">
        <f>CHOOSE(MATCH(A747,{"Jan","Feb","Mar","Apr","May","Jun","Jul","Aug","Sep","Oct","Nov","Dec"},0), "Q1","Q1","Q1", "Q2","Q2","Q2", "Q3","Q3","Q3", "Q4","Q4","Q4")</f>
        <v>Q1</v>
      </c>
      <c r="C747" t="s">
        <v>23</v>
      </c>
      <c r="D747" t="s">
        <v>32</v>
      </c>
      <c r="E747" t="s">
        <v>63</v>
      </c>
      <c r="F747" s="4">
        <v>683</v>
      </c>
      <c r="G747" s="4">
        <v>457</v>
      </c>
      <c r="H747" s="7">
        <f t="shared" si="33"/>
        <v>-226</v>
      </c>
      <c r="I747" s="9">
        <f t="shared" si="34"/>
        <v>-0.33089311859443632</v>
      </c>
      <c r="J747" t="str">
        <f t="shared" si="35"/>
        <v>Favourable</v>
      </c>
    </row>
    <row r="748" spans="1:10" x14ac:dyDescent="0.5">
      <c r="A748" t="s">
        <v>8</v>
      </c>
      <c r="B748" t="str">
        <f>CHOOSE(MATCH(A748,{"Jan","Feb","Mar","Apr","May","Jun","Jul","Aug","Sep","Oct","Nov","Dec"},0), "Q1","Q1","Q1", "Q2","Q2","Q2", "Q3","Q3","Q3", "Q4","Q4","Q4")</f>
        <v>Q1</v>
      </c>
      <c r="C748" t="s">
        <v>23</v>
      </c>
      <c r="D748" t="s">
        <v>32</v>
      </c>
      <c r="E748" t="s">
        <v>63</v>
      </c>
      <c r="F748" s="4">
        <v>767</v>
      </c>
      <c r="G748" s="4">
        <v>733</v>
      </c>
      <c r="H748" s="7">
        <f t="shared" si="33"/>
        <v>-34</v>
      </c>
      <c r="I748" s="9">
        <f t="shared" si="34"/>
        <v>-4.4328552803129077E-2</v>
      </c>
      <c r="J748" t="str">
        <f t="shared" si="35"/>
        <v>Favourable</v>
      </c>
    </row>
    <row r="749" spans="1:10" x14ac:dyDescent="0.5">
      <c r="A749" t="s">
        <v>9</v>
      </c>
      <c r="B749" t="str">
        <f>CHOOSE(MATCH(A749,{"Jan","Feb","Mar","Apr","May","Jun","Jul","Aug","Sep","Oct","Nov","Dec"},0), "Q1","Q1","Q1", "Q2","Q2","Q2", "Q3","Q3","Q3", "Q4","Q4","Q4")</f>
        <v>Q2</v>
      </c>
      <c r="C749" t="s">
        <v>23</v>
      </c>
      <c r="D749" t="s">
        <v>32</v>
      </c>
      <c r="E749" t="s">
        <v>63</v>
      </c>
      <c r="F749" s="4">
        <v>792</v>
      </c>
      <c r="G749" s="4">
        <v>918</v>
      </c>
      <c r="H749" s="7">
        <f t="shared" si="33"/>
        <v>126</v>
      </c>
      <c r="I749" s="9">
        <f t="shared" si="34"/>
        <v>0.15909090909090909</v>
      </c>
      <c r="J749" t="str">
        <f t="shared" si="35"/>
        <v>Unfavourable</v>
      </c>
    </row>
    <row r="750" spans="1:10" x14ac:dyDescent="0.5">
      <c r="A750" t="s">
        <v>10</v>
      </c>
      <c r="B750" t="str">
        <f>CHOOSE(MATCH(A750,{"Jan","Feb","Mar","Apr","May","Jun","Jul","Aug","Sep","Oct","Nov","Dec"},0), "Q1","Q1","Q1", "Q2","Q2","Q2", "Q3","Q3","Q3", "Q4","Q4","Q4")</f>
        <v>Q2</v>
      </c>
      <c r="C750" t="s">
        <v>23</v>
      </c>
      <c r="D750" t="s">
        <v>32</v>
      </c>
      <c r="E750" t="s">
        <v>63</v>
      </c>
      <c r="F750" s="4">
        <v>833</v>
      </c>
      <c r="G750" s="4">
        <v>844</v>
      </c>
      <c r="H750" s="7">
        <f t="shared" si="33"/>
        <v>11</v>
      </c>
      <c r="I750" s="9">
        <f t="shared" si="34"/>
        <v>1.3205282112845138E-2</v>
      </c>
      <c r="J750" t="str">
        <f t="shared" si="35"/>
        <v>Unfavourable</v>
      </c>
    </row>
    <row r="751" spans="1:10" x14ac:dyDescent="0.5">
      <c r="A751" t="s">
        <v>11</v>
      </c>
      <c r="B751" t="str">
        <f>CHOOSE(MATCH(A751,{"Jan","Feb","Mar","Apr","May","Jun","Jul","Aug","Sep","Oct","Nov","Dec"},0), "Q1","Q1","Q1", "Q2","Q2","Q2", "Q3","Q3","Q3", "Q4","Q4","Q4")</f>
        <v>Q2</v>
      </c>
      <c r="C751" t="s">
        <v>23</v>
      </c>
      <c r="D751" t="s">
        <v>32</v>
      </c>
      <c r="E751" t="s">
        <v>63</v>
      </c>
      <c r="F751" s="4">
        <v>850</v>
      </c>
      <c r="G751" s="4">
        <v>893</v>
      </c>
      <c r="H751" s="7">
        <f t="shared" si="33"/>
        <v>43</v>
      </c>
      <c r="I751" s="9">
        <f t="shared" si="34"/>
        <v>5.0588235294117649E-2</v>
      </c>
      <c r="J751" t="str">
        <f t="shared" si="35"/>
        <v>Unfavourable</v>
      </c>
    </row>
    <row r="752" spans="1:10" x14ac:dyDescent="0.5">
      <c r="A752" t="s">
        <v>12</v>
      </c>
      <c r="B752" t="str">
        <f>CHOOSE(MATCH(A752,{"Jan","Feb","Mar","Apr","May","Jun","Jul","Aug","Sep","Oct","Nov","Dec"},0), "Q1","Q1","Q1", "Q2","Q2","Q2", "Q3","Q3","Q3", "Q4","Q4","Q4")</f>
        <v>Q3</v>
      </c>
      <c r="C752" t="s">
        <v>23</v>
      </c>
      <c r="D752" t="s">
        <v>32</v>
      </c>
      <c r="E752" t="s">
        <v>63</v>
      </c>
      <c r="F752" s="4">
        <v>733</v>
      </c>
      <c r="G752" s="4">
        <v>630</v>
      </c>
      <c r="H752" s="7">
        <f t="shared" si="33"/>
        <v>-103</v>
      </c>
      <c r="I752" s="9">
        <f t="shared" si="34"/>
        <v>-0.14051841746248295</v>
      </c>
      <c r="J752" t="str">
        <f t="shared" si="35"/>
        <v>Favourable</v>
      </c>
    </row>
    <row r="753" spans="1:10" x14ac:dyDescent="0.5">
      <c r="A753" t="s">
        <v>13</v>
      </c>
      <c r="B753" t="str">
        <f>CHOOSE(MATCH(A753,{"Jan","Feb","Mar","Apr","May","Jun","Jul","Aug","Sep","Oct","Nov","Dec"},0), "Q1","Q1","Q1", "Q2","Q2","Q2", "Q3","Q3","Q3", "Q4","Q4","Q4")</f>
        <v>Q3</v>
      </c>
      <c r="C753" t="s">
        <v>23</v>
      </c>
      <c r="D753" t="s">
        <v>32</v>
      </c>
      <c r="E753" t="s">
        <v>63</v>
      </c>
      <c r="F753" s="4">
        <v>708</v>
      </c>
      <c r="G753" s="4">
        <v>527</v>
      </c>
      <c r="H753" s="7">
        <f t="shared" si="33"/>
        <v>-181</v>
      </c>
      <c r="I753" s="9">
        <f t="shared" si="34"/>
        <v>-0.2556497175141243</v>
      </c>
      <c r="J753" t="str">
        <f t="shared" si="35"/>
        <v>Favourable</v>
      </c>
    </row>
    <row r="754" spans="1:10" x14ac:dyDescent="0.5">
      <c r="A754" t="s">
        <v>14</v>
      </c>
      <c r="B754" t="str">
        <f>CHOOSE(MATCH(A754,{"Jan","Feb","Mar","Apr","May","Jun","Jul","Aug","Sep","Oct","Nov","Dec"},0), "Q1","Q1","Q1", "Q2","Q2","Q2", "Q3","Q3","Q3", "Q4","Q4","Q4")</f>
        <v>Q3</v>
      </c>
      <c r="C754" t="s">
        <v>23</v>
      </c>
      <c r="D754" t="s">
        <v>32</v>
      </c>
      <c r="E754" t="s">
        <v>63</v>
      </c>
      <c r="F754" s="4">
        <v>833</v>
      </c>
      <c r="G754" s="4">
        <v>879</v>
      </c>
      <c r="H754" s="7">
        <f t="shared" si="33"/>
        <v>46</v>
      </c>
      <c r="I754" s="9">
        <f t="shared" si="34"/>
        <v>5.5222088835534214E-2</v>
      </c>
      <c r="J754" t="str">
        <f t="shared" si="35"/>
        <v>Unfavourable</v>
      </c>
    </row>
    <row r="755" spans="1:10" x14ac:dyDescent="0.5">
      <c r="A755" t="s">
        <v>15</v>
      </c>
      <c r="B755" t="str">
        <f>CHOOSE(MATCH(A755,{"Jan","Feb","Mar","Apr","May","Jun","Jul","Aug","Sep","Oct","Nov","Dec"},0), "Q1","Q1","Q1", "Q2","Q2","Q2", "Q3","Q3","Q3", "Q4","Q4","Q4")</f>
        <v>Q4</v>
      </c>
      <c r="C755" t="s">
        <v>23</v>
      </c>
      <c r="D755" t="s">
        <v>32</v>
      </c>
      <c r="E755" t="s">
        <v>63</v>
      </c>
      <c r="F755" s="4">
        <v>875</v>
      </c>
      <c r="G755" s="4">
        <v>909</v>
      </c>
      <c r="H755" s="7">
        <f t="shared" si="33"/>
        <v>34</v>
      </c>
      <c r="I755" s="9">
        <f t="shared" si="34"/>
        <v>3.8857142857142854E-2</v>
      </c>
      <c r="J755" t="str">
        <f t="shared" si="35"/>
        <v>Unfavourable</v>
      </c>
    </row>
    <row r="756" spans="1:10" x14ac:dyDescent="0.5">
      <c r="A756" t="s">
        <v>16</v>
      </c>
      <c r="B756" t="str">
        <f>CHOOSE(MATCH(A756,{"Jan","Feb","Mar","Apr","May","Jun","Jul","Aug","Sep","Oct","Nov","Dec"},0), "Q1","Q1","Q1", "Q2","Q2","Q2", "Q3","Q3","Q3", "Q4","Q4","Q4")</f>
        <v>Q4</v>
      </c>
      <c r="C756" t="s">
        <v>23</v>
      </c>
      <c r="D756" t="s">
        <v>32</v>
      </c>
      <c r="E756" t="s">
        <v>63</v>
      </c>
      <c r="F756" s="4">
        <v>900</v>
      </c>
      <c r="G756" s="4">
        <v>810</v>
      </c>
      <c r="H756" s="7">
        <f t="shared" si="33"/>
        <v>-90</v>
      </c>
      <c r="I756" s="9">
        <f t="shared" si="34"/>
        <v>-0.1</v>
      </c>
      <c r="J756" t="str">
        <f t="shared" si="35"/>
        <v>Favourable</v>
      </c>
    </row>
    <row r="757" spans="1:10" x14ac:dyDescent="0.5">
      <c r="A757" t="s">
        <v>17</v>
      </c>
      <c r="B757" t="str">
        <f>CHOOSE(MATCH(A757,{"Jan","Feb","Mar","Apr","May","Jun","Jul","Aug","Sep","Oct","Nov","Dec"},0), "Q1","Q1","Q1", "Q2","Q2","Q2", "Q3","Q3","Q3", "Q4","Q4","Q4")</f>
        <v>Q4</v>
      </c>
      <c r="C757" t="s">
        <v>23</v>
      </c>
      <c r="D757" t="s">
        <v>32</v>
      </c>
      <c r="E757" t="s">
        <v>63</v>
      </c>
      <c r="F757" s="4">
        <v>1317</v>
      </c>
      <c r="G757" s="4">
        <v>1373</v>
      </c>
      <c r="H757" s="7">
        <f t="shared" si="33"/>
        <v>56</v>
      </c>
      <c r="I757" s="9">
        <f t="shared" si="34"/>
        <v>4.2520880789673497E-2</v>
      </c>
      <c r="J757" t="str">
        <f t="shared" si="35"/>
        <v>Unfavourable</v>
      </c>
    </row>
    <row r="758" spans="1:10" x14ac:dyDescent="0.5">
      <c r="A758" t="s">
        <v>4</v>
      </c>
      <c r="B758" t="str">
        <f>CHOOSE(MATCH(A758,{"Jan","Feb","Mar","Apr","May","Jun","Jul","Aug","Sep","Oct","Nov","Dec"},0), "Q1","Q1","Q1", "Q2","Q2","Q2", "Q3","Q3","Q3", "Q4","Q4","Q4")</f>
        <v>Q1</v>
      </c>
      <c r="C758" t="s">
        <v>23</v>
      </c>
      <c r="D758" t="s">
        <v>25</v>
      </c>
      <c r="E758" t="s">
        <v>66</v>
      </c>
      <c r="F758" s="4">
        <v>85000</v>
      </c>
      <c r="G758" s="4">
        <v>83334</v>
      </c>
      <c r="H758" s="7">
        <f t="shared" si="33"/>
        <v>-1666</v>
      </c>
      <c r="I758" s="9">
        <f t="shared" si="34"/>
        <v>-1.9599999999999999E-2</v>
      </c>
      <c r="J758" t="str">
        <f t="shared" si="35"/>
        <v>Favourable</v>
      </c>
    </row>
    <row r="759" spans="1:10" x14ac:dyDescent="0.5">
      <c r="A759" t="s">
        <v>7</v>
      </c>
      <c r="B759" t="str">
        <f>CHOOSE(MATCH(A759,{"Jan","Feb","Mar","Apr","May","Jun","Jul","Aug","Sep","Oct","Nov","Dec"},0), "Q1","Q1","Q1", "Q2","Q2","Q2", "Q3","Q3","Q3", "Q4","Q4","Q4")</f>
        <v>Q1</v>
      </c>
      <c r="C759" t="s">
        <v>23</v>
      </c>
      <c r="D759" t="s">
        <v>25</v>
      </c>
      <c r="E759" t="s">
        <v>66</v>
      </c>
      <c r="F759" s="4">
        <v>82000</v>
      </c>
      <c r="G759" s="4">
        <v>82795</v>
      </c>
      <c r="H759" s="7">
        <f t="shared" si="33"/>
        <v>795</v>
      </c>
      <c r="I759" s="9">
        <f t="shared" si="34"/>
        <v>9.6951219512195121E-3</v>
      </c>
      <c r="J759" t="str">
        <f t="shared" si="35"/>
        <v>Unfavourable</v>
      </c>
    </row>
    <row r="760" spans="1:10" x14ac:dyDescent="0.5">
      <c r="A760" t="s">
        <v>8</v>
      </c>
      <c r="B760" t="str">
        <f>CHOOSE(MATCH(A760,{"Jan","Feb","Mar","Apr","May","Jun","Jul","Aug","Sep","Oct","Nov","Dec"},0), "Q1","Q1","Q1", "Q2","Q2","Q2", "Q3","Q3","Q3", "Q4","Q4","Q4")</f>
        <v>Q1</v>
      </c>
      <c r="C760" t="s">
        <v>23</v>
      </c>
      <c r="D760" t="s">
        <v>25</v>
      </c>
      <c r="E760" t="s">
        <v>66</v>
      </c>
      <c r="F760" s="4">
        <v>92000</v>
      </c>
      <c r="G760" s="4">
        <v>93712</v>
      </c>
      <c r="H760" s="7">
        <f t="shared" si="33"/>
        <v>1712</v>
      </c>
      <c r="I760" s="9">
        <f t="shared" si="34"/>
        <v>1.8608695652173914E-2</v>
      </c>
      <c r="J760" t="str">
        <f t="shared" si="35"/>
        <v>Unfavourable</v>
      </c>
    </row>
    <row r="761" spans="1:10" x14ac:dyDescent="0.5">
      <c r="A761" t="s">
        <v>9</v>
      </c>
      <c r="B761" t="str">
        <f>CHOOSE(MATCH(A761,{"Jan","Feb","Mar","Apr","May","Jun","Jul","Aug","Sep","Oct","Nov","Dec"},0), "Q1","Q1","Q1", "Q2","Q2","Q2", "Q3","Q3","Q3", "Q4","Q4","Q4")</f>
        <v>Q2</v>
      </c>
      <c r="C761" t="s">
        <v>23</v>
      </c>
      <c r="D761" t="s">
        <v>25</v>
      </c>
      <c r="E761" t="s">
        <v>66</v>
      </c>
      <c r="F761" s="4">
        <v>95000</v>
      </c>
      <c r="G761" s="4">
        <v>96043</v>
      </c>
      <c r="H761" s="7">
        <f t="shared" si="33"/>
        <v>1043</v>
      </c>
      <c r="I761" s="9">
        <f t="shared" si="34"/>
        <v>1.0978947368421053E-2</v>
      </c>
      <c r="J761" t="str">
        <f t="shared" si="35"/>
        <v>Unfavourable</v>
      </c>
    </row>
    <row r="762" spans="1:10" x14ac:dyDescent="0.5">
      <c r="A762" t="s">
        <v>10</v>
      </c>
      <c r="B762" t="str">
        <f>CHOOSE(MATCH(A762,{"Jan","Feb","Mar","Apr","May","Jun","Jul","Aug","Sep","Oct","Nov","Dec"},0), "Q1","Q1","Q1", "Q2","Q2","Q2", "Q3","Q3","Q3", "Q4","Q4","Q4")</f>
        <v>Q2</v>
      </c>
      <c r="C762" t="s">
        <v>23</v>
      </c>
      <c r="D762" t="s">
        <v>25</v>
      </c>
      <c r="E762" t="s">
        <v>66</v>
      </c>
      <c r="F762" s="4">
        <v>100000</v>
      </c>
      <c r="G762" s="4">
        <v>101198</v>
      </c>
      <c r="H762" s="7">
        <f t="shared" si="33"/>
        <v>1198</v>
      </c>
      <c r="I762" s="9">
        <f t="shared" si="34"/>
        <v>1.1979999999999999E-2</v>
      </c>
      <c r="J762" t="str">
        <f t="shared" si="35"/>
        <v>Unfavourable</v>
      </c>
    </row>
    <row r="763" spans="1:10" x14ac:dyDescent="0.5">
      <c r="A763" t="s">
        <v>11</v>
      </c>
      <c r="B763" t="str">
        <f>CHOOSE(MATCH(A763,{"Jan","Feb","Mar","Apr","May","Jun","Jul","Aug","Sep","Oct","Nov","Dec"},0), "Q1","Q1","Q1", "Q2","Q2","Q2", "Q3","Q3","Q3", "Q4","Q4","Q4")</f>
        <v>Q2</v>
      </c>
      <c r="C763" t="s">
        <v>23</v>
      </c>
      <c r="D763" t="s">
        <v>25</v>
      </c>
      <c r="E763" t="s">
        <v>66</v>
      </c>
      <c r="F763" s="4">
        <v>102000</v>
      </c>
      <c r="G763" s="4">
        <v>102844</v>
      </c>
      <c r="H763" s="7">
        <f t="shared" si="33"/>
        <v>844</v>
      </c>
      <c r="I763" s="9">
        <f t="shared" si="34"/>
        <v>8.2745098039215693E-3</v>
      </c>
      <c r="J763" t="str">
        <f t="shared" si="35"/>
        <v>Unfavourable</v>
      </c>
    </row>
    <row r="764" spans="1:10" x14ac:dyDescent="0.5">
      <c r="A764" t="s">
        <v>12</v>
      </c>
      <c r="B764" t="str">
        <f>CHOOSE(MATCH(A764,{"Jan","Feb","Mar","Apr","May","Jun","Jul","Aug","Sep","Oct","Nov","Dec"},0), "Q1","Q1","Q1", "Q2","Q2","Q2", "Q3","Q3","Q3", "Q4","Q4","Q4")</f>
        <v>Q3</v>
      </c>
      <c r="C764" t="s">
        <v>23</v>
      </c>
      <c r="D764" t="s">
        <v>25</v>
      </c>
      <c r="E764" t="s">
        <v>66</v>
      </c>
      <c r="F764" s="4">
        <v>88000</v>
      </c>
      <c r="G764" s="4">
        <v>86726</v>
      </c>
      <c r="H764" s="7">
        <f t="shared" si="33"/>
        <v>-1274</v>
      </c>
      <c r="I764" s="9">
        <f t="shared" si="34"/>
        <v>-1.4477272727272728E-2</v>
      </c>
      <c r="J764" t="str">
        <f t="shared" si="35"/>
        <v>Favourable</v>
      </c>
    </row>
    <row r="765" spans="1:10" x14ac:dyDescent="0.5">
      <c r="A765" t="s">
        <v>13</v>
      </c>
      <c r="B765" t="str">
        <f>CHOOSE(MATCH(A765,{"Jan","Feb","Mar","Apr","May","Jun","Jul","Aug","Sep","Oct","Nov","Dec"},0), "Q1","Q1","Q1", "Q2","Q2","Q2", "Q3","Q3","Q3", "Q4","Q4","Q4")</f>
        <v>Q3</v>
      </c>
      <c r="C765" t="s">
        <v>23</v>
      </c>
      <c r="D765" t="s">
        <v>25</v>
      </c>
      <c r="E765" t="s">
        <v>66</v>
      </c>
      <c r="F765" s="4">
        <v>85000</v>
      </c>
      <c r="G765" s="4">
        <v>84705</v>
      </c>
      <c r="H765" s="7">
        <f t="shared" si="33"/>
        <v>-295</v>
      </c>
      <c r="I765" s="9">
        <f t="shared" si="34"/>
        <v>-3.4705882352941177E-3</v>
      </c>
      <c r="J765" t="str">
        <f t="shared" si="35"/>
        <v>Favourable</v>
      </c>
    </row>
    <row r="766" spans="1:10" x14ac:dyDescent="0.5">
      <c r="A766" t="s">
        <v>14</v>
      </c>
      <c r="B766" t="str">
        <f>CHOOSE(MATCH(A766,{"Jan","Feb","Mar","Apr","May","Jun","Jul","Aug","Sep","Oct","Nov","Dec"},0), "Q1","Q1","Q1", "Q2","Q2","Q2", "Q3","Q3","Q3", "Q4","Q4","Q4")</f>
        <v>Q3</v>
      </c>
      <c r="C766" t="s">
        <v>23</v>
      </c>
      <c r="D766" t="s">
        <v>25</v>
      </c>
      <c r="E766" t="s">
        <v>66</v>
      </c>
      <c r="F766" s="4">
        <v>100000</v>
      </c>
      <c r="G766" s="4">
        <v>99421</v>
      </c>
      <c r="H766" s="7">
        <f t="shared" si="33"/>
        <v>-579</v>
      </c>
      <c r="I766" s="9">
        <f t="shared" si="34"/>
        <v>-5.79E-3</v>
      </c>
      <c r="J766" t="str">
        <f t="shared" si="35"/>
        <v>Favourable</v>
      </c>
    </row>
    <row r="767" spans="1:10" x14ac:dyDescent="0.5">
      <c r="A767" t="s">
        <v>15</v>
      </c>
      <c r="B767" t="str">
        <f>CHOOSE(MATCH(A767,{"Jan","Feb","Mar","Apr","May","Jun","Jul","Aug","Sep","Oct","Nov","Dec"},0), "Q1","Q1","Q1", "Q2","Q2","Q2", "Q3","Q3","Q3", "Q4","Q4","Q4")</f>
        <v>Q4</v>
      </c>
      <c r="C767" t="s">
        <v>23</v>
      </c>
      <c r="D767" t="s">
        <v>25</v>
      </c>
      <c r="E767" t="s">
        <v>66</v>
      </c>
      <c r="F767" s="4">
        <v>105000</v>
      </c>
      <c r="G767" s="4">
        <v>105244</v>
      </c>
      <c r="H767" s="7">
        <f t="shared" si="33"/>
        <v>244</v>
      </c>
      <c r="I767" s="9">
        <f t="shared" si="34"/>
        <v>2.323809523809524E-3</v>
      </c>
      <c r="J767" t="str">
        <f t="shared" si="35"/>
        <v>Unfavourable</v>
      </c>
    </row>
    <row r="768" spans="1:10" x14ac:dyDescent="0.5">
      <c r="A768" t="s">
        <v>16</v>
      </c>
      <c r="B768" t="str">
        <f>CHOOSE(MATCH(A768,{"Jan","Feb","Mar","Apr","May","Jun","Jul","Aug","Sep","Oct","Nov","Dec"},0), "Q1","Q1","Q1", "Q2","Q2","Q2", "Q3","Q3","Q3", "Q4","Q4","Q4")</f>
        <v>Q4</v>
      </c>
      <c r="C768" t="s">
        <v>23</v>
      </c>
      <c r="D768" t="s">
        <v>25</v>
      </c>
      <c r="E768" t="s">
        <v>66</v>
      </c>
      <c r="F768" s="4">
        <v>108000</v>
      </c>
      <c r="G768" s="4">
        <v>108074</v>
      </c>
      <c r="H768" s="7">
        <f t="shared" si="33"/>
        <v>74</v>
      </c>
      <c r="I768" s="9">
        <f t="shared" si="34"/>
        <v>6.8518518518518516E-4</v>
      </c>
      <c r="J768" t="str">
        <f t="shared" si="35"/>
        <v>Unfavourable</v>
      </c>
    </row>
    <row r="769" spans="1:10" x14ac:dyDescent="0.5">
      <c r="A769" t="s">
        <v>17</v>
      </c>
      <c r="B769" t="str">
        <f>CHOOSE(MATCH(A769,{"Jan","Feb","Mar","Apr","May","Jun","Jul","Aug","Sep","Oct","Nov","Dec"},0), "Q1","Q1","Q1", "Q2","Q2","Q2", "Q3","Q3","Q3", "Q4","Q4","Q4")</f>
        <v>Q4</v>
      </c>
      <c r="C769" t="s">
        <v>23</v>
      </c>
      <c r="D769" t="s">
        <v>25</v>
      </c>
      <c r="E769" t="s">
        <v>66</v>
      </c>
      <c r="F769" s="4">
        <v>158000</v>
      </c>
      <c r="G769" s="4">
        <v>157878</v>
      </c>
      <c r="H769" s="7">
        <f t="shared" si="33"/>
        <v>-122</v>
      </c>
      <c r="I769" s="9">
        <f t="shared" si="34"/>
        <v>-7.7215189873417725E-4</v>
      </c>
      <c r="J769" t="str">
        <f t="shared" si="35"/>
        <v>Favourable</v>
      </c>
    </row>
    <row r="770" spans="1:10" x14ac:dyDescent="0.5">
      <c r="A770" t="s">
        <v>4</v>
      </c>
      <c r="B770" t="str">
        <f>CHOOSE(MATCH(A770,{"Jan","Feb","Mar","Apr","May","Jun","Jul","Aug","Sep","Oct","Nov","Dec"},0), "Q1","Q1","Q1", "Q2","Q2","Q2", "Q3","Q3","Q3", "Q4","Q4","Q4")</f>
        <v>Q1</v>
      </c>
      <c r="C770" t="s">
        <v>23</v>
      </c>
      <c r="D770" t="s">
        <v>67</v>
      </c>
      <c r="E770" t="s">
        <v>66</v>
      </c>
      <c r="F770" s="4">
        <v>5667</v>
      </c>
      <c r="G770" s="4">
        <v>5456</v>
      </c>
      <c r="H770" s="7">
        <f t="shared" si="33"/>
        <v>-211</v>
      </c>
      <c r="I770" s="9">
        <f t="shared" si="34"/>
        <v>-3.7233103935062642E-2</v>
      </c>
      <c r="J770" t="str">
        <f t="shared" si="35"/>
        <v>Favourable</v>
      </c>
    </row>
    <row r="771" spans="1:10" x14ac:dyDescent="0.5">
      <c r="A771" t="s">
        <v>7</v>
      </c>
      <c r="B771" t="str">
        <f>CHOOSE(MATCH(A771,{"Jan","Feb","Mar","Apr","May","Jun","Jul","Aug","Sep","Oct","Nov","Dec"},0), "Q1","Q1","Q1", "Q2","Q2","Q2", "Q3","Q3","Q3", "Q4","Q4","Q4")</f>
        <v>Q1</v>
      </c>
      <c r="C771" t="s">
        <v>23</v>
      </c>
      <c r="D771" t="s">
        <v>67</v>
      </c>
      <c r="E771" t="s">
        <v>66</v>
      </c>
      <c r="F771" s="4">
        <v>5467</v>
      </c>
      <c r="G771" s="4">
        <v>5682</v>
      </c>
      <c r="H771" s="7">
        <f t="shared" ref="H771:H817" si="36">G771-F771</f>
        <v>215</v>
      </c>
      <c r="I771" s="9">
        <f t="shared" ref="I771:I817" si="37">SUM(G771-F771)/F771</f>
        <v>3.9326870312785804E-2</v>
      </c>
      <c r="J771" t="str">
        <f t="shared" ref="J771:J817" si="38">IF(C771="Revenue",IF(G771&gt;F771,"Favourable","Unfavourable"),IF(G771&lt;F771,"Favourable","Unfavourable"))</f>
        <v>Unfavourable</v>
      </c>
    </row>
    <row r="772" spans="1:10" x14ac:dyDescent="0.5">
      <c r="A772" t="s">
        <v>8</v>
      </c>
      <c r="B772" t="str">
        <f>CHOOSE(MATCH(A772,{"Jan","Feb","Mar","Apr","May","Jun","Jul","Aug","Sep","Oct","Nov","Dec"},0), "Q1","Q1","Q1", "Q2","Q2","Q2", "Q3","Q3","Q3", "Q4","Q4","Q4")</f>
        <v>Q1</v>
      </c>
      <c r="C772" t="s">
        <v>23</v>
      </c>
      <c r="D772" t="s">
        <v>67</v>
      </c>
      <c r="E772" t="s">
        <v>66</v>
      </c>
      <c r="F772" s="4">
        <v>6133</v>
      </c>
      <c r="G772" s="4">
        <v>6707</v>
      </c>
      <c r="H772" s="7">
        <f t="shared" si="36"/>
        <v>574</v>
      </c>
      <c r="I772" s="9">
        <f t="shared" si="37"/>
        <v>9.3592043045817711E-2</v>
      </c>
      <c r="J772" t="str">
        <f t="shared" si="38"/>
        <v>Unfavourable</v>
      </c>
    </row>
    <row r="773" spans="1:10" x14ac:dyDescent="0.5">
      <c r="A773" t="s">
        <v>9</v>
      </c>
      <c r="B773" t="str">
        <f>CHOOSE(MATCH(A773,{"Jan","Feb","Mar","Apr","May","Jun","Jul","Aug","Sep","Oct","Nov","Dec"},0), "Q1","Q1","Q1", "Q2","Q2","Q2", "Q3","Q3","Q3", "Q4","Q4","Q4")</f>
        <v>Q2</v>
      </c>
      <c r="C773" t="s">
        <v>23</v>
      </c>
      <c r="D773" t="s">
        <v>67</v>
      </c>
      <c r="E773" t="s">
        <v>66</v>
      </c>
      <c r="F773" s="4">
        <v>6333</v>
      </c>
      <c r="G773" s="4">
        <v>6143</v>
      </c>
      <c r="H773" s="7">
        <f t="shared" si="36"/>
        <v>-190</v>
      </c>
      <c r="I773" s="9">
        <f t="shared" si="37"/>
        <v>-3.0001579030475289E-2</v>
      </c>
      <c r="J773" t="str">
        <f t="shared" si="38"/>
        <v>Favourable</v>
      </c>
    </row>
    <row r="774" spans="1:10" x14ac:dyDescent="0.5">
      <c r="A774" t="s">
        <v>10</v>
      </c>
      <c r="B774" t="str">
        <f>CHOOSE(MATCH(A774,{"Jan","Feb","Mar","Apr","May","Jun","Jul","Aug","Sep","Oct","Nov","Dec"},0), "Q1","Q1","Q1", "Q2","Q2","Q2", "Q3","Q3","Q3", "Q4","Q4","Q4")</f>
        <v>Q2</v>
      </c>
      <c r="C774" t="s">
        <v>23</v>
      </c>
      <c r="D774" t="s">
        <v>67</v>
      </c>
      <c r="E774" t="s">
        <v>66</v>
      </c>
      <c r="F774" s="4">
        <v>6667</v>
      </c>
      <c r="G774" s="4">
        <v>7079</v>
      </c>
      <c r="H774" s="7">
        <f t="shared" si="36"/>
        <v>412</v>
      </c>
      <c r="I774" s="9">
        <f t="shared" si="37"/>
        <v>6.1796910154492277E-2</v>
      </c>
      <c r="J774" t="str">
        <f t="shared" si="38"/>
        <v>Unfavourable</v>
      </c>
    </row>
    <row r="775" spans="1:10" x14ac:dyDescent="0.5">
      <c r="A775" t="s">
        <v>11</v>
      </c>
      <c r="B775" t="str">
        <f>CHOOSE(MATCH(A775,{"Jan","Feb","Mar","Apr","May","Jun","Jul","Aug","Sep","Oct","Nov","Dec"},0), "Q1","Q1","Q1", "Q2","Q2","Q2", "Q3","Q3","Q3", "Q4","Q4","Q4")</f>
        <v>Q2</v>
      </c>
      <c r="C775" t="s">
        <v>23</v>
      </c>
      <c r="D775" t="s">
        <v>67</v>
      </c>
      <c r="E775" t="s">
        <v>66</v>
      </c>
      <c r="F775" s="4">
        <v>6800</v>
      </c>
      <c r="G775" s="4">
        <v>7102</v>
      </c>
      <c r="H775" s="7">
        <f t="shared" si="36"/>
        <v>302</v>
      </c>
      <c r="I775" s="9">
        <f t="shared" si="37"/>
        <v>4.4411764705882352E-2</v>
      </c>
      <c r="J775" t="str">
        <f t="shared" si="38"/>
        <v>Unfavourable</v>
      </c>
    </row>
    <row r="776" spans="1:10" x14ac:dyDescent="0.5">
      <c r="A776" t="s">
        <v>12</v>
      </c>
      <c r="B776" t="str">
        <f>CHOOSE(MATCH(A776,{"Jan","Feb","Mar","Apr","May","Jun","Jul","Aug","Sep","Oct","Nov","Dec"},0), "Q1","Q1","Q1", "Q2","Q2","Q2", "Q3","Q3","Q3", "Q4","Q4","Q4")</f>
        <v>Q3</v>
      </c>
      <c r="C776" t="s">
        <v>23</v>
      </c>
      <c r="D776" t="s">
        <v>67</v>
      </c>
      <c r="E776" t="s">
        <v>66</v>
      </c>
      <c r="F776" s="4">
        <v>5867</v>
      </c>
      <c r="G776" s="4">
        <v>5089</v>
      </c>
      <c r="H776" s="7">
        <f t="shared" si="36"/>
        <v>-778</v>
      </c>
      <c r="I776" s="9">
        <f t="shared" si="37"/>
        <v>-0.13260610192602693</v>
      </c>
      <c r="J776" t="str">
        <f t="shared" si="38"/>
        <v>Favourable</v>
      </c>
    </row>
    <row r="777" spans="1:10" x14ac:dyDescent="0.5">
      <c r="A777" t="s">
        <v>13</v>
      </c>
      <c r="B777" t="str">
        <f>CHOOSE(MATCH(A777,{"Jan","Feb","Mar","Apr","May","Jun","Jul","Aug","Sep","Oct","Nov","Dec"},0), "Q1","Q1","Q1", "Q2","Q2","Q2", "Q3","Q3","Q3", "Q4","Q4","Q4")</f>
        <v>Q3</v>
      </c>
      <c r="C777" t="s">
        <v>23</v>
      </c>
      <c r="D777" t="s">
        <v>67</v>
      </c>
      <c r="E777" t="s">
        <v>66</v>
      </c>
      <c r="F777" s="4">
        <v>5667</v>
      </c>
      <c r="G777" s="4">
        <v>5451</v>
      </c>
      <c r="H777" s="7">
        <f t="shared" si="36"/>
        <v>-216</v>
      </c>
      <c r="I777" s="9">
        <f t="shared" si="37"/>
        <v>-3.8115404976177873E-2</v>
      </c>
      <c r="J777" t="str">
        <f t="shared" si="38"/>
        <v>Favourable</v>
      </c>
    </row>
    <row r="778" spans="1:10" x14ac:dyDescent="0.5">
      <c r="A778" t="s">
        <v>14</v>
      </c>
      <c r="B778" t="str">
        <f>CHOOSE(MATCH(A778,{"Jan","Feb","Mar","Apr","May","Jun","Jul","Aug","Sep","Oct","Nov","Dec"},0), "Q1","Q1","Q1", "Q2","Q2","Q2", "Q3","Q3","Q3", "Q4","Q4","Q4")</f>
        <v>Q3</v>
      </c>
      <c r="C778" t="s">
        <v>23</v>
      </c>
      <c r="D778" t="s">
        <v>67</v>
      </c>
      <c r="E778" t="s">
        <v>66</v>
      </c>
      <c r="F778" s="4">
        <v>6667</v>
      </c>
      <c r="G778" s="4">
        <v>6455</v>
      </c>
      <c r="H778" s="7">
        <f t="shared" si="36"/>
        <v>-212</v>
      </c>
      <c r="I778" s="9">
        <f t="shared" si="37"/>
        <v>-3.1798410079496027E-2</v>
      </c>
      <c r="J778" t="str">
        <f t="shared" si="38"/>
        <v>Favourable</v>
      </c>
    </row>
    <row r="779" spans="1:10" x14ac:dyDescent="0.5">
      <c r="A779" t="s">
        <v>15</v>
      </c>
      <c r="B779" t="str">
        <f>CHOOSE(MATCH(A779,{"Jan","Feb","Mar","Apr","May","Jun","Jul","Aug","Sep","Oct","Nov","Dec"},0), "Q1","Q1","Q1", "Q2","Q2","Q2", "Q3","Q3","Q3", "Q4","Q4","Q4")</f>
        <v>Q4</v>
      </c>
      <c r="C779" t="s">
        <v>23</v>
      </c>
      <c r="D779" t="s">
        <v>67</v>
      </c>
      <c r="E779" t="s">
        <v>66</v>
      </c>
      <c r="F779" s="4">
        <v>7000</v>
      </c>
      <c r="G779" s="4">
        <v>7274</v>
      </c>
      <c r="H779" s="7">
        <f t="shared" si="36"/>
        <v>274</v>
      </c>
      <c r="I779" s="9">
        <f t="shared" si="37"/>
        <v>3.9142857142857146E-2</v>
      </c>
      <c r="J779" t="str">
        <f t="shared" si="38"/>
        <v>Unfavourable</v>
      </c>
    </row>
    <row r="780" spans="1:10" x14ac:dyDescent="0.5">
      <c r="A780" t="s">
        <v>16</v>
      </c>
      <c r="B780" t="str">
        <f>CHOOSE(MATCH(A780,{"Jan","Feb","Mar","Apr","May","Jun","Jul","Aug","Sep","Oct","Nov","Dec"},0), "Q1","Q1","Q1", "Q2","Q2","Q2", "Q3","Q3","Q3", "Q4","Q4","Q4")</f>
        <v>Q4</v>
      </c>
      <c r="C780" t="s">
        <v>23</v>
      </c>
      <c r="D780" t="s">
        <v>67</v>
      </c>
      <c r="E780" t="s">
        <v>66</v>
      </c>
      <c r="F780" s="4">
        <v>7200</v>
      </c>
      <c r="G780" s="4">
        <v>7268</v>
      </c>
      <c r="H780" s="7">
        <f t="shared" si="36"/>
        <v>68</v>
      </c>
      <c r="I780" s="9">
        <f t="shared" si="37"/>
        <v>9.4444444444444445E-3</v>
      </c>
      <c r="J780" t="str">
        <f t="shared" si="38"/>
        <v>Unfavourable</v>
      </c>
    </row>
    <row r="781" spans="1:10" x14ac:dyDescent="0.5">
      <c r="A781" t="s">
        <v>17</v>
      </c>
      <c r="B781" t="str">
        <f>CHOOSE(MATCH(A781,{"Jan","Feb","Mar","Apr","May","Jun","Jul","Aug","Sep","Oct","Nov","Dec"},0), "Q1","Q1","Q1", "Q2","Q2","Q2", "Q3","Q3","Q3", "Q4","Q4","Q4")</f>
        <v>Q4</v>
      </c>
      <c r="C781" t="s">
        <v>23</v>
      </c>
      <c r="D781" t="s">
        <v>67</v>
      </c>
      <c r="E781" t="s">
        <v>66</v>
      </c>
      <c r="F781" s="4">
        <v>10533</v>
      </c>
      <c r="G781" s="4">
        <v>10783</v>
      </c>
      <c r="H781" s="7">
        <f t="shared" si="36"/>
        <v>250</v>
      </c>
      <c r="I781" s="9">
        <f t="shared" si="37"/>
        <v>2.3734928320516473E-2</v>
      </c>
      <c r="J781" t="str">
        <f t="shared" si="38"/>
        <v>Unfavourable</v>
      </c>
    </row>
    <row r="782" spans="1:10" x14ac:dyDescent="0.5">
      <c r="A782" t="s">
        <v>4</v>
      </c>
      <c r="B782" t="str">
        <f>CHOOSE(MATCH(A782,{"Jan","Feb","Mar","Apr","May","Jun","Jul","Aug","Sep","Oct","Nov","Dec"},0), "Q1","Q1","Q1", "Q2","Q2","Q2", "Q3","Q3","Q3", "Q4","Q4","Q4")</f>
        <v>Q1</v>
      </c>
      <c r="C782" t="s">
        <v>23</v>
      </c>
      <c r="D782" t="s">
        <v>28</v>
      </c>
      <c r="E782" t="s">
        <v>66</v>
      </c>
      <c r="F782" s="4">
        <v>7083</v>
      </c>
      <c r="G782" s="4">
        <v>7308</v>
      </c>
      <c r="H782" s="7">
        <f t="shared" si="36"/>
        <v>225</v>
      </c>
      <c r="I782" s="9">
        <f t="shared" si="37"/>
        <v>3.176620076238882E-2</v>
      </c>
      <c r="J782" t="str">
        <f t="shared" si="38"/>
        <v>Unfavourable</v>
      </c>
    </row>
    <row r="783" spans="1:10" x14ac:dyDescent="0.5">
      <c r="A783" t="s">
        <v>7</v>
      </c>
      <c r="B783" t="str">
        <f>CHOOSE(MATCH(A783,{"Jan","Feb","Mar","Apr","May","Jun","Jul","Aug","Sep","Oct","Nov","Dec"},0), "Q1","Q1","Q1", "Q2","Q2","Q2", "Q3","Q3","Q3", "Q4","Q4","Q4")</f>
        <v>Q1</v>
      </c>
      <c r="C783" t="s">
        <v>23</v>
      </c>
      <c r="D783" t="s">
        <v>28</v>
      </c>
      <c r="E783" t="s">
        <v>66</v>
      </c>
      <c r="F783" s="4">
        <v>6833</v>
      </c>
      <c r="G783" s="4">
        <v>6526</v>
      </c>
      <c r="H783" s="7">
        <f t="shared" si="36"/>
        <v>-307</v>
      </c>
      <c r="I783" s="9">
        <f t="shared" si="37"/>
        <v>-4.4929020927850137E-2</v>
      </c>
      <c r="J783" t="str">
        <f t="shared" si="38"/>
        <v>Favourable</v>
      </c>
    </row>
    <row r="784" spans="1:10" x14ac:dyDescent="0.5">
      <c r="A784" t="s">
        <v>8</v>
      </c>
      <c r="B784" t="str">
        <f>CHOOSE(MATCH(A784,{"Jan","Feb","Mar","Apr","May","Jun","Jul","Aug","Sep","Oct","Nov","Dec"},0), "Q1","Q1","Q1", "Q2","Q2","Q2", "Q3","Q3","Q3", "Q4","Q4","Q4")</f>
        <v>Q1</v>
      </c>
      <c r="C784" t="s">
        <v>23</v>
      </c>
      <c r="D784" t="s">
        <v>28</v>
      </c>
      <c r="E784" t="s">
        <v>66</v>
      </c>
      <c r="F784" s="4">
        <v>7667</v>
      </c>
      <c r="G784" s="4">
        <v>7381</v>
      </c>
      <c r="H784" s="7">
        <f t="shared" si="36"/>
        <v>-286</v>
      </c>
      <c r="I784" s="9">
        <f t="shared" si="37"/>
        <v>-3.7302725968436153E-2</v>
      </c>
      <c r="J784" t="str">
        <f t="shared" si="38"/>
        <v>Favourable</v>
      </c>
    </row>
    <row r="785" spans="1:10" x14ac:dyDescent="0.5">
      <c r="A785" t="s">
        <v>9</v>
      </c>
      <c r="B785" t="str">
        <f>CHOOSE(MATCH(A785,{"Jan","Feb","Mar","Apr","May","Jun","Jul","Aug","Sep","Oct","Nov","Dec"},0), "Q1","Q1","Q1", "Q2","Q2","Q2", "Q3","Q3","Q3", "Q4","Q4","Q4")</f>
        <v>Q2</v>
      </c>
      <c r="C785" t="s">
        <v>23</v>
      </c>
      <c r="D785" t="s">
        <v>28</v>
      </c>
      <c r="E785" t="s">
        <v>66</v>
      </c>
      <c r="F785" s="4">
        <v>7917</v>
      </c>
      <c r="G785" s="4">
        <v>7433</v>
      </c>
      <c r="H785" s="7">
        <f t="shared" si="36"/>
        <v>-484</v>
      </c>
      <c r="I785" s="9">
        <f t="shared" si="37"/>
        <v>-6.1134268030819755E-2</v>
      </c>
      <c r="J785" t="str">
        <f t="shared" si="38"/>
        <v>Favourable</v>
      </c>
    </row>
    <row r="786" spans="1:10" x14ac:dyDescent="0.5">
      <c r="A786" t="s">
        <v>10</v>
      </c>
      <c r="B786" t="str">
        <f>CHOOSE(MATCH(A786,{"Jan","Feb","Mar","Apr","May","Jun","Jul","Aug","Sep","Oct","Nov","Dec"},0), "Q1","Q1","Q1", "Q2","Q2","Q2", "Q3","Q3","Q3", "Q4","Q4","Q4")</f>
        <v>Q2</v>
      </c>
      <c r="C786" t="s">
        <v>23</v>
      </c>
      <c r="D786" t="s">
        <v>28</v>
      </c>
      <c r="E786" t="s">
        <v>66</v>
      </c>
      <c r="F786" s="4">
        <v>8333</v>
      </c>
      <c r="G786" s="4">
        <v>8262</v>
      </c>
      <c r="H786" s="7">
        <f t="shared" si="36"/>
        <v>-71</v>
      </c>
      <c r="I786" s="9">
        <f t="shared" si="37"/>
        <v>-8.5203408136325445E-3</v>
      </c>
      <c r="J786" t="str">
        <f t="shared" si="38"/>
        <v>Favourable</v>
      </c>
    </row>
    <row r="787" spans="1:10" x14ac:dyDescent="0.5">
      <c r="A787" t="s">
        <v>11</v>
      </c>
      <c r="B787" t="str">
        <f>CHOOSE(MATCH(A787,{"Jan","Feb","Mar","Apr","May","Jun","Jul","Aug","Sep","Oct","Nov","Dec"},0), "Q1","Q1","Q1", "Q2","Q2","Q2", "Q3","Q3","Q3", "Q4","Q4","Q4")</f>
        <v>Q2</v>
      </c>
      <c r="C787" t="s">
        <v>23</v>
      </c>
      <c r="D787" t="s">
        <v>28</v>
      </c>
      <c r="E787" t="s">
        <v>66</v>
      </c>
      <c r="F787" s="4">
        <v>8500</v>
      </c>
      <c r="G787" s="4">
        <v>8449</v>
      </c>
      <c r="H787" s="7">
        <f t="shared" si="36"/>
        <v>-51</v>
      </c>
      <c r="I787" s="9">
        <f t="shared" si="37"/>
        <v>-6.0000000000000001E-3</v>
      </c>
      <c r="J787" t="str">
        <f t="shared" si="38"/>
        <v>Favourable</v>
      </c>
    </row>
    <row r="788" spans="1:10" x14ac:dyDescent="0.5">
      <c r="A788" t="s">
        <v>12</v>
      </c>
      <c r="B788" t="str">
        <f>CHOOSE(MATCH(A788,{"Jan","Feb","Mar","Apr","May","Jun","Jul","Aug","Sep","Oct","Nov","Dec"},0), "Q1","Q1","Q1", "Q2","Q2","Q2", "Q3","Q3","Q3", "Q4","Q4","Q4")</f>
        <v>Q3</v>
      </c>
      <c r="C788" t="s">
        <v>23</v>
      </c>
      <c r="D788" t="s">
        <v>28</v>
      </c>
      <c r="E788" t="s">
        <v>66</v>
      </c>
      <c r="F788" s="4">
        <v>7333</v>
      </c>
      <c r="G788" s="4">
        <v>7396</v>
      </c>
      <c r="H788" s="7">
        <f t="shared" si="36"/>
        <v>63</v>
      </c>
      <c r="I788" s="9">
        <f t="shared" si="37"/>
        <v>8.5912996045274786E-3</v>
      </c>
      <c r="J788" t="str">
        <f t="shared" si="38"/>
        <v>Unfavourable</v>
      </c>
    </row>
    <row r="789" spans="1:10" x14ac:dyDescent="0.5">
      <c r="A789" t="s">
        <v>13</v>
      </c>
      <c r="B789" t="str">
        <f>CHOOSE(MATCH(A789,{"Jan","Feb","Mar","Apr","May","Jun","Jul","Aug","Sep","Oct","Nov","Dec"},0), "Q1","Q1","Q1", "Q2","Q2","Q2", "Q3","Q3","Q3", "Q4","Q4","Q4")</f>
        <v>Q3</v>
      </c>
      <c r="C789" t="s">
        <v>23</v>
      </c>
      <c r="D789" t="s">
        <v>28</v>
      </c>
      <c r="E789" t="s">
        <v>66</v>
      </c>
      <c r="F789" s="4">
        <v>7083</v>
      </c>
      <c r="G789" s="4">
        <v>6825</v>
      </c>
      <c r="H789" s="7">
        <f t="shared" si="36"/>
        <v>-258</v>
      </c>
      <c r="I789" s="9">
        <f t="shared" si="37"/>
        <v>-3.6425243540872509E-2</v>
      </c>
      <c r="J789" t="str">
        <f t="shared" si="38"/>
        <v>Favourable</v>
      </c>
    </row>
    <row r="790" spans="1:10" x14ac:dyDescent="0.5">
      <c r="A790" t="s">
        <v>14</v>
      </c>
      <c r="B790" t="str">
        <f>CHOOSE(MATCH(A790,{"Jan","Feb","Mar","Apr","May","Jun","Jul","Aug","Sep","Oct","Nov","Dec"},0), "Q1","Q1","Q1", "Q2","Q2","Q2", "Q3","Q3","Q3", "Q4","Q4","Q4")</f>
        <v>Q3</v>
      </c>
      <c r="C790" t="s">
        <v>23</v>
      </c>
      <c r="D790" t="s">
        <v>28</v>
      </c>
      <c r="E790" t="s">
        <v>66</v>
      </c>
      <c r="F790" s="4">
        <v>8333</v>
      </c>
      <c r="G790" s="4">
        <v>8711</v>
      </c>
      <c r="H790" s="7">
        <f t="shared" si="36"/>
        <v>378</v>
      </c>
      <c r="I790" s="9">
        <f t="shared" si="37"/>
        <v>4.53618144725789E-2</v>
      </c>
      <c r="J790" t="str">
        <f t="shared" si="38"/>
        <v>Unfavourable</v>
      </c>
    </row>
    <row r="791" spans="1:10" x14ac:dyDescent="0.5">
      <c r="A791" t="s">
        <v>15</v>
      </c>
      <c r="B791" t="str">
        <f>CHOOSE(MATCH(A791,{"Jan","Feb","Mar","Apr","May","Jun","Jul","Aug","Sep","Oct","Nov","Dec"},0), "Q1","Q1","Q1", "Q2","Q2","Q2", "Q3","Q3","Q3", "Q4","Q4","Q4")</f>
        <v>Q4</v>
      </c>
      <c r="C791" t="s">
        <v>23</v>
      </c>
      <c r="D791" t="s">
        <v>28</v>
      </c>
      <c r="E791" t="s">
        <v>66</v>
      </c>
      <c r="F791" s="4">
        <v>8750</v>
      </c>
      <c r="G791" s="4">
        <v>9151</v>
      </c>
      <c r="H791" s="7">
        <f t="shared" si="36"/>
        <v>401</v>
      </c>
      <c r="I791" s="9">
        <f t="shared" si="37"/>
        <v>4.5828571428571427E-2</v>
      </c>
      <c r="J791" t="str">
        <f t="shared" si="38"/>
        <v>Unfavourable</v>
      </c>
    </row>
    <row r="792" spans="1:10" x14ac:dyDescent="0.5">
      <c r="A792" t="s">
        <v>16</v>
      </c>
      <c r="B792" t="str">
        <f>CHOOSE(MATCH(A792,{"Jan","Feb","Mar","Apr","May","Jun","Jul","Aug","Sep","Oct","Nov","Dec"},0), "Q1","Q1","Q1", "Q2","Q2","Q2", "Q3","Q3","Q3", "Q4","Q4","Q4")</f>
        <v>Q4</v>
      </c>
      <c r="C792" t="s">
        <v>23</v>
      </c>
      <c r="D792" t="s">
        <v>28</v>
      </c>
      <c r="E792" t="s">
        <v>66</v>
      </c>
      <c r="F792" s="4">
        <v>9000</v>
      </c>
      <c r="G792" s="4">
        <v>9696</v>
      </c>
      <c r="H792" s="7">
        <f t="shared" si="36"/>
        <v>696</v>
      </c>
      <c r="I792" s="9">
        <f t="shared" si="37"/>
        <v>7.7333333333333337E-2</v>
      </c>
      <c r="J792" t="str">
        <f t="shared" si="38"/>
        <v>Unfavourable</v>
      </c>
    </row>
    <row r="793" spans="1:10" x14ac:dyDescent="0.5">
      <c r="A793" t="s">
        <v>17</v>
      </c>
      <c r="B793" t="str">
        <f>CHOOSE(MATCH(A793,{"Jan","Feb","Mar","Apr","May","Jun","Jul","Aug","Sep","Oct","Nov","Dec"},0), "Q1","Q1","Q1", "Q2","Q2","Q2", "Q3","Q3","Q3", "Q4","Q4","Q4")</f>
        <v>Q4</v>
      </c>
      <c r="C793" t="s">
        <v>23</v>
      </c>
      <c r="D793" t="s">
        <v>28</v>
      </c>
      <c r="E793" t="s">
        <v>66</v>
      </c>
      <c r="F793" s="4">
        <v>13167</v>
      </c>
      <c r="G793" s="4">
        <v>13635</v>
      </c>
      <c r="H793" s="7">
        <f t="shared" si="36"/>
        <v>468</v>
      </c>
      <c r="I793" s="9">
        <f t="shared" si="37"/>
        <v>3.5543403964456599E-2</v>
      </c>
      <c r="J793" t="str">
        <f t="shared" si="38"/>
        <v>Unfavourable</v>
      </c>
    </row>
    <row r="794" spans="1:10" x14ac:dyDescent="0.5">
      <c r="A794" t="s">
        <v>4</v>
      </c>
      <c r="B794" t="str">
        <f>CHOOSE(MATCH(A794,{"Jan","Feb","Mar","Apr","May","Jun","Jul","Aug","Sep","Oct","Nov","Dec"},0), "Q1","Q1","Q1", "Q2","Q2","Q2", "Q3","Q3","Q3", "Q4","Q4","Q4")</f>
        <v>Q1</v>
      </c>
      <c r="C794" t="s">
        <v>23</v>
      </c>
      <c r="D794" t="s">
        <v>68</v>
      </c>
      <c r="E794" t="s">
        <v>66</v>
      </c>
      <c r="F794" s="4">
        <v>4250</v>
      </c>
      <c r="G794" s="4">
        <v>4289</v>
      </c>
      <c r="H794" s="7">
        <f t="shared" si="36"/>
        <v>39</v>
      </c>
      <c r="I794" s="9">
        <f t="shared" si="37"/>
        <v>9.1764705882352946E-3</v>
      </c>
      <c r="J794" t="str">
        <f t="shared" si="38"/>
        <v>Unfavourable</v>
      </c>
    </row>
    <row r="795" spans="1:10" x14ac:dyDescent="0.5">
      <c r="A795" t="s">
        <v>7</v>
      </c>
      <c r="B795" t="str">
        <f>CHOOSE(MATCH(A795,{"Jan","Feb","Mar","Apr","May","Jun","Jul","Aug","Sep","Oct","Nov","Dec"},0), "Q1","Q1","Q1", "Q2","Q2","Q2", "Q3","Q3","Q3", "Q4","Q4","Q4")</f>
        <v>Q1</v>
      </c>
      <c r="C795" t="s">
        <v>23</v>
      </c>
      <c r="D795" t="s">
        <v>68</v>
      </c>
      <c r="E795" t="s">
        <v>66</v>
      </c>
      <c r="F795" s="4">
        <v>4100</v>
      </c>
      <c r="G795" s="4">
        <v>4238</v>
      </c>
      <c r="H795" s="7">
        <f t="shared" si="36"/>
        <v>138</v>
      </c>
      <c r="I795" s="9">
        <f t="shared" si="37"/>
        <v>3.3658536585365856E-2</v>
      </c>
      <c r="J795" t="str">
        <f t="shared" si="38"/>
        <v>Unfavourable</v>
      </c>
    </row>
    <row r="796" spans="1:10" x14ac:dyDescent="0.5">
      <c r="A796" t="s">
        <v>8</v>
      </c>
      <c r="B796" t="str">
        <f>CHOOSE(MATCH(A796,{"Jan","Feb","Mar","Apr","May","Jun","Jul","Aug","Sep","Oct","Nov","Dec"},0), "Q1","Q1","Q1", "Q2","Q2","Q2", "Q3","Q3","Q3", "Q4","Q4","Q4")</f>
        <v>Q1</v>
      </c>
      <c r="C796" t="s">
        <v>23</v>
      </c>
      <c r="D796" t="s">
        <v>68</v>
      </c>
      <c r="E796" t="s">
        <v>66</v>
      </c>
      <c r="F796" s="4">
        <v>4600</v>
      </c>
      <c r="G796" s="4">
        <v>4740</v>
      </c>
      <c r="H796" s="7">
        <f t="shared" si="36"/>
        <v>140</v>
      </c>
      <c r="I796" s="9">
        <f t="shared" si="37"/>
        <v>3.0434782608695653E-2</v>
      </c>
      <c r="J796" t="str">
        <f t="shared" si="38"/>
        <v>Unfavourable</v>
      </c>
    </row>
    <row r="797" spans="1:10" x14ac:dyDescent="0.5">
      <c r="A797" t="s">
        <v>9</v>
      </c>
      <c r="B797" t="str">
        <f>CHOOSE(MATCH(A797,{"Jan","Feb","Mar","Apr","May","Jun","Jul","Aug","Sep","Oct","Nov","Dec"},0), "Q1","Q1","Q1", "Q2","Q2","Q2", "Q3","Q3","Q3", "Q4","Q4","Q4")</f>
        <v>Q2</v>
      </c>
      <c r="C797" t="s">
        <v>23</v>
      </c>
      <c r="D797" t="s">
        <v>68</v>
      </c>
      <c r="E797" t="s">
        <v>66</v>
      </c>
      <c r="F797" s="4">
        <v>4750</v>
      </c>
      <c r="G797" s="4">
        <v>4595</v>
      </c>
      <c r="H797" s="7">
        <f t="shared" si="36"/>
        <v>-155</v>
      </c>
      <c r="I797" s="9">
        <f t="shared" si="37"/>
        <v>-3.2631578947368421E-2</v>
      </c>
      <c r="J797" t="str">
        <f t="shared" si="38"/>
        <v>Favourable</v>
      </c>
    </row>
    <row r="798" spans="1:10" x14ac:dyDescent="0.5">
      <c r="A798" t="s">
        <v>10</v>
      </c>
      <c r="B798" t="str">
        <f>CHOOSE(MATCH(A798,{"Jan","Feb","Mar","Apr","May","Jun","Jul","Aug","Sep","Oct","Nov","Dec"},0), "Q1","Q1","Q1", "Q2","Q2","Q2", "Q3","Q3","Q3", "Q4","Q4","Q4")</f>
        <v>Q2</v>
      </c>
      <c r="C798" t="s">
        <v>23</v>
      </c>
      <c r="D798" t="s">
        <v>68</v>
      </c>
      <c r="E798" t="s">
        <v>66</v>
      </c>
      <c r="F798" s="4">
        <v>5000</v>
      </c>
      <c r="G798" s="4">
        <v>5322</v>
      </c>
      <c r="H798" s="7">
        <f t="shared" si="36"/>
        <v>322</v>
      </c>
      <c r="I798" s="9">
        <f t="shared" si="37"/>
        <v>6.4399999999999999E-2</v>
      </c>
      <c r="J798" t="str">
        <f t="shared" si="38"/>
        <v>Unfavourable</v>
      </c>
    </row>
    <row r="799" spans="1:10" x14ac:dyDescent="0.5">
      <c r="A799" t="s">
        <v>11</v>
      </c>
      <c r="B799" t="str">
        <f>CHOOSE(MATCH(A799,{"Jan","Feb","Mar","Apr","May","Jun","Jul","Aug","Sep","Oct","Nov","Dec"},0), "Q1","Q1","Q1", "Q2","Q2","Q2", "Q3","Q3","Q3", "Q4","Q4","Q4")</f>
        <v>Q2</v>
      </c>
      <c r="C799" t="s">
        <v>23</v>
      </c>
      <c r="D799" t="s">
        <v>68</v>
      </c>
      <c r="E799" t="s">
        <v>66</v>
      </c>
      <c r="F799" s="4">
        <v>5100</v>
      </c>
      <c r="G799" s="4">
        <v>5538</v>
      </c>
      <c r="H799" s="7">
        <f t="shared" si="36"/>
        <v>438</v>
      </c>
      <c r="I799" s="9">
        <f t="shared" si="37"/>
        <v>8.5882352941176465E-2</v>
      </c>
      <c r="J799" t="str">
        <f t="shared" si="38"/>
        <v>Unfavourable</v>
      </c>
    </row>
    <row r="800" spans="1:10" x14ac:dyDescent="0.5">
      <c r="A800" t="s">
        <v>12</v>
      </c>
      <c r="B800" t="str">
        <f>CHOOSE(MATCH(A800,{"Jan","Feb","Mar","Apr","May","Jun","Jul","Aug","Sep","Oct","Nov","Dec"},0), "Q1","Q1","Q1", "Q2","Q2","Q2", "Q3","Q3","Q3", "Q4","Q4","Q4")</f>
        <v>Q3</v>
      </c>
      <c r="C800" t="s">
        <v>23</v>
      </c>
      <c r="D800" t="s">
        <v>68</v>
      </c>
      <c r="E800" t="s">
        <v>66</v>
      </c>
      <c r="F800" s="4">
        <v>4400</v>
      </c>
      <c r="G800" s="4">
        <v>4835</v>
      </c>
      <c r="H800" s="7">
        <f t="shared" si="36"/>
        <v>435</v>
      </c>
      <c r="I800" s="9">
        <f t="shared" si="37"/>
        <v>9.8863636363636362E-2</v>
      </c>
      <c r="J800" t="str">
        <f t="shared" si="38"/>
        <v>Unfavourable</v>
      </c>
    </row>
    <row r="801" spans="1:10" x14ac:dyDescent="0.5">
      <c r="A801" t="s">
        <v>13</v>
      </c>
      <c r="B801" t="str">
        <f>CHOOSE(MATCH(A801,{"Jan","Feb","Mar","Apr","May","Jun","Jul","Aug","Sep","Oct","Nov","Dec"},0), "Q1","Q1","Q1", "Q2","Q2","Q2", "Q3","Q3","Q3", "Q4","Q4","Q4")</f>
        <v>Q3</v>
      </c>
      <c r="C801" t="s">
        <v>23</v>
      </c>
      <c r="D801" t="s">
        <v>68</v>
      </c>
      <c r="E801" t="s">
        <v>66</v>
      </c>
      <c r="F801" s="4">
        <v>4250</v>
      </c>
      <c r="G801" s="4">
        <v>4257</v>
      </c>
      <c r="H801" s="7">
        <f t="shared" si="36"/>
        <v>7</v>
      </c>
      <c r="I801" s="9">
        <f t="shared" si="37"/>
        <v>1.6470588235294118E-3</v>
      </c>
      <c r="J801" t="str">
        <f t="shared" si="38"/>
        <v>Unfavourable</v>
      </c>
    </row>
    <row r="802" spans="1:10" x14ac:dyDescent="0.5">
      <c r="A802" t="s">
        <v>14</v>
      </c>
      <c r="B802" t="str">
        <f>CHOOSE(MATCH(A802,{"Jan","Feb","Mar","Apr","May","Jun","Jul","Aug","Sep","Oct","Nov","Dec"},0), "Q1","Q1","Q1", "Q2","Q2","Q2", "Q3","Q3","Q3", "Q4","Q4","Q4")</f>
        <v>Q3</v>
      </c>
      <c r="C802" t="s">
        <v>23</v>
      </c>
      <c r="D802" t="s">
        <v>68</v>
      </c>
      <c r="E802" t="s">
        <v>66</v>
      </c>
      <c r="F802" s="4">
        <v>5000</v>
      </c>
      <c r="G802" s="4">
        <v>5081</v>
      </c>
      <c r="H802" s="7">
        <f t="shared" si="36"/>
        <v>81</v>
      </c>
      <c r="I802" s="9">
        <f t="shared" si="37"/>
        <v>1.6199999999999999E-2</v>
      </c>
      <c r="J802" t="str">
        <f t="shared" si="38"/>
        <v>Unfavourable</v>
      </c>
    </row>
    <row r="803" spans="1:10" x14ac:dyDescent="0.5">
      <c r="A803" t="s">
        <v>15</v>
      </c>
      <c r="B803" t="str">
        <f>CHOOSE(MATCH(A803,{"Jan","Feb","Mar","Apr","May","Jun","Jul","Aug","Sep","Oct","Nov","Dec"},0), "Q1","Q1","Q1", "Q2","Q2","Q2", "Q3","Q3","Q3", "Q4","Q4","Q4")</f>
        <v>Q4</v>
      </c>
      <c r="C803" t="s">
        <v>23</v>
      </c>
      <c r="D803" t="s">
        <v>68</v>
      </c>
      <c r="E803" t="s">
        <v>66</v>
      </c>
      <c r="F803" s="4">
        <v>5250</v>
      </c>
      <c r="G803" s="4">
        <v>5359</v>
      </c>
      <c r="H803" s="7">
        <f t="shared" si="36"/>
        <v>109</v>
      </c>
      <c r="I803" s="9">
        <f t="shared" si="37"/>
        <v>2.0761904761904763E-2</v>
      </c>
      <c r="J803" t="str">
        <f t="shared" si="38"/>
        <v>Unfavourable</v>
      </c>
    </row>
    <row r="804" spans="1:10" x14ac:dyDescent="0.5">
      <c r="A804" t="s">
        <v>16</v>
      </c>
      <c r="B804" t="str">
        <f>CHOOSE(MATCH(A804,{"Jan","Feb","Mar","Apr","May","Jun","Jul","Aug","Sep","Oct","Nov","Dec"},0), "Q1","Q1","Q1", "Q2","Q2","Q2", "Q3","Q3","Q3", "Q4","Q4","Q4")</f>
        <v>Q4</v>
      </c>
      <c r="C804" t="s">
        <v>23</v>
      </c>
      <c r="D804" t="s">
        <v>68</v>
      </c>
      <c r="E804" t="s">
        <v>66</v>
      </c>
      <c r="F804" s="4">
        <v>5400</v>
      </c>
      <c r="G804" s="4">
        <v>5399</v>
      </c>
      <c r="H804" s="7">
        <f t="shared" si="36"/>
        <v>-1</v>
      </c>
      <c r="I804" s="9">
        <f t="shared" si="37"/>
        <v>-1.8518518518518518E-4</v>
      </c>
      <c r="J804" t="str">
        <f t="shared" si="38"/>
        <v>Favourable</v>
      </c>
    </row>
    <row r="805" spans="1:10" x14ac:dyDescent="0.5">
      <c r="A805" t="s">
        <v>17</v>
      </c>
      <c r="B805" t="str">
        <f>CHOOSE(MATCH(A805,{"Jan","Feb","Mar","Apr","May","Jun","Jul","Aug","Sep","Oct","Nov","Dec"},0), "Q1","Q1","Q1", "Q2","Q2","Q2", "Q3","Q3","Q3", "Q4","Q4","Q4")</f>
        <v>Q4</v>
      </c>
      <c r="C805" t="s">
        <v>23</v>
      </c>
      <c r="D805" t="s">
        <v>68</v>
      </c>
      <c r="E805" t="s">
        <v>66</v>
      </c>
      <c r="F805" s="4">
        <v>7900</v>
      </c>
      <c r="G805" s="4">
        <v>8145</v>
      </c>
      <c r="H805" s="7">
        <f t="shared" si="36"/>
        <v>245</v>
      </c>
      <c r="I805" s="9">
        <f t="shared" si="37"/>
        <v>3.10126582278481E-2</v>
      </c>
      <c r="J805" t="str">
        <f t="shared" si="38"/>
        <v>Unfavourable</v>
      </c>
    </row>
    <row r="806" spans="1:10" x14ac:dyDescent="0.5">
      <c r="A806" t="s">
        <v>4</v>
      </c>
      <c r="B806" t="str">
        <f>CHOOSE(MATCH(A806,{"Jan","Feb","Mar","Apr","May","Jun","Jul","Aug","Sep","Oct","Nov","Dec"},0), "Q1","Q1","Q1", "Q2","Q2","Q2", "Q3","Q3","Q3", "Q4","Q4","Q4")</f>
        <v>Q1</v>
      </c>
      <c r="C806" t="s">
        <v>23</v>
      </c>
      <c r="D806" t="s">
        <v>32</v>
      </c>
      <c r="E806" t="s">
        <v>66</v>
      </c>
      <c r="F806" s="4">
        <v>1417</v>
      </c>
      <c r="G806" s="4">
        <v>1384</v>
      </c>
      <c r="H806" s="7">
        <f t="shared" si="36"/>
        <v>-33</v>
      </c>
      <c r="I806" s="9">
        <f t="shared" si="37"/>
        <v>-2.3288637967537051E-2</v>
      </c>
      <c r="J806" t="str">
        <f t="shared" si="38"/>
        <v>Favourable</v>
      </c>
    </row>
    <row r="807" spans="1:10" x14ac:dyDescent="0.5">
      <c r="A807" t="s">
        <v>7</v>
      </c>
      <c r="B807" t="str">
        <f>CHOOSE(MATCH(A807,{"Jan","Feb","Mar","Apr","May","Jun","Jul","Aug","Sep","Oct","Nov","Dec"},0), "Q1","Q1","Q1", "Q2","Q2","Q2", "Q3","Q3","Q3", "Q4","Q4","Q4")</f>
        <v>Q1</v>
      </c>
      <c r="C807" t="s">
        <v>23</v>
      </c>
      <c r="D807" t="s">
        <v>32</v>
      </c>
      <c r="E807" t="s">
        <v>66</v>
      </c>
      <c r="F807" s="4">
        <v>1367</v>
      </c>
      <c r="G807" s="4">
        <v>1394</v>
      </c>
      <c r="H807" s="7">
        <f t="shared" si="36"/>
        <v>27</v>
      </c>
      <c r="I807" s="9">
        <f t="shared" si="37"/>
        <v>1.9751280175566936E-2</v>
      </c>
      <c r="J807" t="str">
        <f t="shared" si="38"/>
        <v>Unfavourable</v>
      </c>
    </row>
    <row r="808" spans="1:10" x14ac:dyDescent="0.5">
      <c r="A808" t="s">
        <v>8</v>
      </c>
      <c r="B808" t="str">
        <f>CHOOSE(MATCH(A808,{"Jan","Feb","Mar","Apr","May","Jun","Jul","Aug","Sep","Oct","Nov","Dec"},0), "Q1","Q1","Q1", "Q2","Q2","Q2", "Q3","Q3","Q3", "Q4","Q4","Q4")</f>
        <v>Q1</v>
      </c>
      <c r="C808" t="s">
        <v>23</v>
      </c>
      <c r="D808" t="s">
        <v>32</v>
      </c>
      <c r="E808" t="s">
        <v>66</v>
      </c>
      <c r="F808" s="4">
        <v>1533</v>
      </c>
      <c r="G808" s="4">
        <v>1695</v>
      </c>
      <c r="H808" s="7">
        <f t="shared" si="36"/>
        <v>162</v>
      </c>
      <c r="I808" s="9">
        <f t="shared" si="37"/>
        <v>0.10567514677103718</v>
      </c>
      <c r="J808" t="str">
        <f t="shared" si="38"/>
        <v>Unfavourable</v>
      </c>
    </row>
    <row r="809" spans="1:10" x14ac:dyDescent="0.5">
      <c r="A809" t="s">
        <v>9</v>
      </c>
      <c r="B809" t="str">
        <f>CHOOSE(MATCH(A809,{"Jan","Feb","Mar","Apr","May","Jun","Jul","Aug","Sep","Oct","Nov","Dec"},0), "Q1","Q1","Q1", "Q2","Q2","Q2", "Q3","Q3","Q3", "Q4","Q4","Q4")</f>
        <v>Q2</v>
      </c>
      <c r="C809" t="s">
        <v>23</v>
      </c>
      <c r="D809" t="s">
        <v>32</v>
      </c>
      <c r="E809" t="s">
        <v>66</v>
      </c>
      <c r="F809" s="4">
        <v>1583</v>
      </c>
      <c r="G809" s="4">
        <v>1638</v>
      </c>
      <c r="H809" s="7">
        <f t="shared" si="36"/>
        <v>55</v>
      </c>
      <c r="I809" s="9">
        <f t="shared" si="37"/>
        <v>3.474415666456096E-2</v>
      </c>
      <c r="J809" t="str">
        <f t="shared" si="38"/>
        <v>Unfavourable</v>
      </c>
    </row>
    <row r="810" spans="1:10" x14ac:dyDescent="0.5">
      <c r="A810" t="s">
        <v>10</v>
      </c>
      <c r="B810" t="str">
        <f>CHOOSE(MATCH(A810,{"Jan","Feb","Mar","Apr","May","Jun","Jul","Aug","Sep","Oct","Nov","Dec"},0), "Q1","Q1","Q1", "Q2","Q2","Q2", "Q3","Q3","Q3", "Q4","Q4","Q4")</f>
        <v>Q2</v>
      </c>
      <c r="C810" t="s">
        <v>23</v>
      </c>
      <c r="D810" t="s">
        <v>32</v>
      </c>
      <c r="E810" t="s">
        <v>66</v>
      </c>
      <c r="F810" s="4">
        <v>1667</v>
      </c>
      <c r="G810" s="4">
        <v>1423</v>
      </c>
      <c r="H810" s="7">
        <f t="shared" si="36"/>
        <v>-244</v>
      </c>
      <c r="I810" s="9">
        <f t="shared" si="37"/>
        <v>-0.14637072585482905</v>
      </c>
      <c r="J810" t="str">
        <f t="shared" si="38"/>
        <v>Favourable</v>
      </c>
    </row>
    <row r="811" spans="1:10" x14ac:dyDescent="0.5">
      <c r="A811" t="s">
        <v>11</v>
      </c>
      <c r="B811" t="str">
        <f>CHOOSE(MATCH(A811,{"Jan","Feb","Mar","Apr","May","Jun","Jul","Aug","Sep","Oct","Nov","Dec"},0), "Q1","Q1","Q1", "Q2","Q2","Q2", "Q3","Q3","Q3", "Q4","Q4","Q4")</f>
        <v>Q2</v>
      </c>
      <c r="C811" t="s">
        <v>23</v>
      </c>
      <c r="D811" t="s">
        <v>32</v>
      </c>
      <c r="E811" t="s">
        <v>66</v>
      </c>
      <c r="F811" s="4">
        <v>1700</v>
      </c>
      <c r="G811" s="4">
        <v>1468</v>
      </c>
      <c r="H811" s="7">
        <f t="shared" si="36"/>
        <v>-232</v>
      </c>
      <c r="I811" s="9">
        <f t="shared" si="37"/>
        <v>-0.13647058823529412</v>
      </c>
      <c r="J811" t="str">
        <f t="shared" si="38"/>
        <v>Favourable</v>
      </c>
    </row>
    <row r="812" spans="1:10" x14ac:dyDescent="0.5">
      <c r="A812" t="s">
        <v>12</v>
      </c>
      <c r="B812" t="str">
        <f>CHOOSE(MATCH(A812,{"Jan","Feb","Mar","Apr","May","Jun","Jul","Aug","Sep","Oct","Nov","Dec"},0), "Q1","Q1","Q1", "Q2","Q2","Q2", "Q3","Q3","Q3", "Q4","Q4","Q4")</f>
        <v>Q3</v>
      </c>
      <c r="C812" t="s">
        <v>23</v>
      </c>
      <c r="D812" t="s">
        <v>32</v>
      </c>
      <c r="E812" t="s">
        <v>66</v>
      </c>
      <c r="F812" s="4">
        <v>1467</v>
      </c>
      <c r="G812" s="4">
        <v>1259</v>
      </c>
      <c r="H812" s="7">
        <f t="shared" si="36"/>
        <v>-208</v>
      </c>
      <c r="I812" s="9">
        <f t="shared" si="37"/>
        <v>-0.14178595773687799</v>
      </c>
      <c r="J812" t="str">
        <f t="shared" si="38"/>
        <v>Favourable</v>
      </c>
    </row>
    <row r="813" spans="1:10" x14ac:dyDescent="0.5">
      <c r="A813" t="s">
        <v>13</v>
      </c>
      <c r="B813" t="str">
        <f>CHOOSE(MATCH(A813,{"Jan","Feb","Mar","Apr","May","Jun","Jul","Aug","Sep","Oct","Nov","Dec"},0), "Q1","Q1","Q1", "Q2","Q2","Q2", "Q3","Q3","Q3", "Q4","Q4","Q4")</f>
        <v>Q3</v>
      </c>
      <c r="C813" t="s">
        <v>23</v>
      </c>
      <c r="D813" t="s">
        <v>32</v>
      </c>
      <c r="E813" t="s">
        <v>66</v>
      </c>
      <c r="F813" s="4">
        <v>1417</v>
      </c>
      <c r="G813" s="4">
        <v>1544</v>
      </c>
      <c r="H813" s="7">
        <f t="shared" si="36"/>
        <v>127</v>
      </c>
      <c r="I813" s="9">
        <f t="shared" si="37"/>
        <v>8.9625970359915319E-2</v>
      </c>
      <c r="J813" t="str">
        <f t="shared" si="38"/>
        <v>Unfavourable</v>
      </c>
    </row>
    <row r="814" spans="1:10" x14ac:dyDescent="0.5">
      <c r="A814" t="s">
        <v>14</v>
      </c>
      <c r="B814" t="str">
        <f>CHOOSE(MATCH(A814,{"Jan","Feb","Mar","Apr","May","Jun","Jul","Aug","Sep","Oct","Nov","Dec"},0), "Q1","Q1","Q1", "Q2","Q2","Q2", "Q3","Q3","Q3", "Q4","Q4","Q4")</f>
        <v>Q3</v>
      </c>
      <c r="C814" t="s">
        <v>23</v>
      </c>
      <c r="D814" t="s">
        <v>32</v>
      </c>
      <c r="E814" t="s">
        <v>66</v>
      </c>
      <c r="F814" s="4">
        <v>1667</v>
      </c>
      <c r="G814" s="4">
        <v>1647</v>
      </c>
      <c r="H814" s="7">
        <f t="shared" si="36"/>
        <v>-20</v>
      </c>
      <c r="I814" s="9">
        <f t="shared" si="37"/>
        <v>-1.199760047990402E-2</v>
      </c>
      <c r="J814" t="str">
        <f t="shared" si="38"/>
        <v>Favourable</v>
      </c>
    </row>
    <row r="815" spans="1:10" x14ac:dyDescent="0.5">
      <c r="A815" t="s">
        <v>15</v>
      </c>
      <c r="B815" t="str">
        <f>CHOOSE(MATCH(A815,{"Jan","Feb","Mar","Apr","May","Jun","Jul","Aug","Sep","Oct","Nov","Dec"},0), "Q1","Q1","Q1", "Q2","Q2","Q2", "Q3","Q3","Q3", "Q4","Q4","Q4")</f>
        <v>Q4</v>
      </c>
      <c r="C815" t="s">
        <v>23</v>
      </c>
      <c r="D815" t="s">
        <v>32</v>
      </c>
      <c r="E815" t="s">
        <v>66</v>
      </c>
      <c r="F815" s="4">
        <v>1750</v>
      </c>
      <c r="G815" s="4">
        <v>1337</v>
      </c>
      <c r="H815" s="7">
        <f t="shared" si="36"/>
        <v>-413</v>
      </c>
      <c r="I815" s="9">
        <f t="shared" si="37"/>
        <v>-0.23599999999999999</v>
      </c>
      <c r="J815" t="str">
        <f t="shared" si="38"/>
        <v>Favourable</v>
      </c>
    </row>
    <row r="816" spans="1:10" x14ac:dyDescent="0.5">
      <c r="A816" t="s">
        <v>16</v>
      </c>
      <c r="B816" t="str">
        <f>CHOOSE(MATCH(A816,{"Jan","Feb","Mar","Apr","May","Jun","Jul","Aug","Sep","Oct","Nov","Dec"},0), "Q1","Q1","Q1", "Q2","Q2","Q2", "Q3","Q3","Q3", "Q4","Q4","Q4")</f>
        <v>Q4</v>
      </c>
      <c r="C816" t="s">
        <v>23</v>
      </c>
      <c r="D816" t="s">
        <v>32</v>
      </c>
      <c r="E816" t="s">
        <v>66</v>
      </c>
      <c r="F816" s="4">
        <v>1800</v>
      </c>
      <c r="G816" s="4">
        <v>1768</v>
      </c>
      <c r="H816" s="7">
        <f t="shared" si="36"/>
        <v>-32</v>
      </c>
      <c r="I816" s="9">
        <f t="shared" si="37"/>
        <v>-1.7777777777777778E-2</v>
      </c>
      <c r="J816" t="str">
        <f t="shared" si="38"/>
        <v>Favourable</v>
      </c>
    </row>
    <row r="817" spans="1:10" x14ac:dyDescent="0.5">
      <c r="A817" t="s">
        <v>17</v>
      </c>
      <c r="B817" t="str">
        <f>CHOOSE(MATCH(A817,{"Jan","Feb","Mar","Apr","May","Jun","Jul","Aug","Sep","Oct","Nov","Dec"},0), "Q1","Q1","Q1", "Q2","Q2","Q2", "Q3","Q3","Q3", "Q4","Q4","Q4")</f>
        <v>Q4</v>
      </c>
      <c r="C817" t="s">
        <v>23</v>
      </c>
      <c r="D817" t="s">
        <v>32</v>
      </c>
      <c r="E817" t="s">
        <v>66</v>
      </c>
      <c r="F817" s="4">
        <v>2633</v>
      </c>
      <c r="G817" s="4">
        <v>2608</v>
      </c>
      <c r="H817" s="7">
        <f t="shared" si="36"/>
        <v>-25</v>
      </c>
      <c r="I817" s="9">
        <f t="shared" si="37"/>
        <v>-9.4948727687048998E-3</v>
      </c>
      <c r="J817" t="str">
        <f t="shared" si="38"/>
        <v>Favourable</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715E-4C6B-4ADF-BFF8-828ECB9424A0}">
  <sheetPr>
    <tabColor theme="7" tint="0.59999389629810485"/>
  </sheetPr>
  <dimension ref="A1:B8"/>
  <sheetViews>
    <sheetView workbookViewId="0">
      <selection activeCell="B8" sqref="B8"/>
    </sheetView>
  </sheetViews>
  <sheetFormatPr defaultRowHeight="18.5" x14ac:dyDescent="0.55000000000000004"/>
  <cols>
    <col min="1" max="1" width="1.81640625" style="12" bestFit="1" customWidth="1"/>
    <col min="2" max="2" width="77" style="12" bestFit="1" customWidth="1"/>
    <col min="3" max="16384" width="8.7265625" style="12"/>
  </cols>
  <sheetData>
    <row r="1" spans="1:2" x14ac:dyDescent="0.55000000000000004">
      <c r="B1" s="14" t="s">
        <v>108</v>
      </c>
    </row>
    <row r="2" spans="1:2" x14ac:dyDescent="0.55000000000000004">
      <c r="A2" s="12">
        <v>1</v>
      </c>
      <c r="B2" s="13" t="s">
        <v>109</v>
      </c>
    </row>
    <row r="3" spans="1:2" x14ac:dyDescent="0.55000000000000004">
      <c r="A3" s="12">
        <v>2</v>
      </c>
      <c r="B3" s="13" t="s">
        <v>110</v>
      </c>
    </row>
    <row r="4" spans="1:2" x14ac:dyDescent="0.55000000000000004">
      <c r="A4" s="12">
        <v>3</v>
      </c>
      <c r="B4" s="13" t="s">
        <v>111</v>
      </c>
    </row>
    <row r="5" spans="1:2" x14ac:dyDescent="0.55000000000000004">
      <c r="A5" s="12">
        <v>4</v>
      </c>
      <c r="B5" s="13" t="s">
        <v>112</v>
      </c>
    </row>
    <row r="6" spans="1:2" x14ac:dyDescent="0.55000000000000004">
      <c r="A6" s="12">
        <v>5</v>
      </c>
      <c r="B6" s="13" t="s">
        <v>113</v>
      </c>
    </row>
    <row r="7" spans="1:2" x14ac:dyDescent="0.55000000000000004">
      <c r="A7" s="12">
        <v>6</v>
      </c>
      <c r="B7" s="13" t="s">
        <v>114</v>
      </c>
    </row>
    <row r="8" spans="1:2" x14ac:dyDescent="0.55000000000000004">
      <c r="A8" s="12">
        <v>7</v>
      </c>
      <c r="B8" s="13" t="s">
        <v>115</v>
      </c>
    </row>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A6BF2-2BDC-4649-B191-F89510E73DA0}">
  <sheetPr>
    <tabColor theme="3" tint="0.499984740745262"/>
  </sheetPr>
  <dimension ref="B1:N12"/>
  <sheetViews>
    <sheetView showGridLines="0" zoomScale="84" zoomScaleNormal="84" workbookViewId="0">
      <selection activeCell="G15" sqref="G15"/>
    </sheetView>
  </sheetViews>
  <sheetFormatPr defaultRowHeight="18.5" x14ac:dyDescent="0.55000000000000004"/>
  <cols>
    <col min="1" max="1" width="8.7265625" style="16"/>
    <col min="2" max="2" width="14.81640625" style="16" bestFit="1" customWidth="1"/>
    <col min="3" max="3" width="9.6328125" style="16" bestFit="1" customWidth="1"/>
    <col min="4" max="4" width="6.08984375" style="16" customWidth="1"/>
    <col min="5" max="5" width="20.6328125" style="16" bestFit="1" customWidth="1"/>
    <col min="6" max="6" width="6.90625" style="16" customWidth="1"/>
    <col min="7" max="7" width="39.453125" style="16" customWidth="1"/>
    <col min="8" max="8" width="6.26953125" style="16" customWidth="1"/>
    <col min="9" max="9" width="19.6328125" style="16" customWidth="1"/>
    <col min="10" max="10" width="12.6328125" style="16" bestFit="1" customWidth="1"/>
    <col min="11" max="16384" width="8.7265625" style="16"/>
  </cols>
  <sheetData>
    <row r="1" spans="2:14" ht="32" x14ac:dyDescent="0.55000000000000004">
      <c r="B1" s="28" t="s">
        <v>100</v>
      </c>
      <c r="C1" s="28"/>
      <c r="D1" s="28"/>
      <c r="E1" s="28"/>
      <c r="F1" s="28"/>
      <c r="G1" s="28"/>
      <c r="H1" s="28"/>
      <c r="I1" s="28"/>
      <c r="J1" s="28"/>
      <c r="K1" s="15"/>
      <c r="L1" s="15"/>
      <c r="M1" s="15"/>
      <c r="N1" s="15"/>
    </row>
    <row r="2" spans="2:14" x14ac:dyDescent="0.55000000000000004">
      <c r="B2" s="30" t="s">
        <v>89</v>
      </c>
      <c r="C2" s="31"/>
      <c r="E2" s="26" t="s">
        <v>97</v>
      </c>
      <c r="F2" s="29"/>
      <c r="G2" s="27"/>
      <c r="I2" s="26" t="s">
        <v>122</v>
      </c>
      <c r="J2" s="27"/>
    </row>
    <row r="3" spans="2:14" x14ac:dyDescent="0.55000000000000004">
      <c r="B3" s="17" t="s">
        <v>83</v>
      </c>
      <c r="C3" s="18">
        <f>COUNTA('Clean Data '!A$2:A$817)</f>
        <v>816</v>
      </c>
      <c r="E3" s="19" t="s">
        <v>96</v>
      </c>
      <c r="F3" s="19" t="s">
        <v>94</v>
      </c>
      <c r="G3" s="19" t="s">
        <v>95</v>
      </c>
      <c r="I3" s="20" t="s">
        <v>116</v>
      </c>
      <c r="J3" s="20" t="s">
        <v>116</v>
      </c>
    </row>
    <row r="4" spans="2:14" x14ac:dyDescent="0.55000000000000004">
      <c r="B4" s="17" t="s">
        <v>84</v>
      </c>
      <c r="C4" s="21">
        <v>10</v>
      </c>
      <c r="E4" s="22" t="s">
        <v>90</v>
      </c>
      <c r="F4" s="22" t="s">
        <v>99</v>
      </c>
      <c r="G4" s="23" t="str">
        <f>IF(F4="Good","No missing values found","Missing values detected - review")</f>
        <v>No missing values found</v>
      </c>
      <c r="I4" s="20" t="s">
        <v>77</v>
      </c>
      <c r="J4" s="20" t="s">
        <v>117</v>
      </c>
    </row>
    <row r="5" spans="2:14" x14ac:dyDescent="0.55000000000000004">
      <c r="B5" s="17" t="s">
        <v>88</v>
      </c>
      <c r="C5" s="24" cm="1">
        <f t="array" ref="C5">SUMPRODUCT(1/COUNTIF('Clean Data '!C$2:C$817,'Clean Data '!C$2:C$817))</f>
        <v>2.0000000000000799</v>
      </c>
      <c r="E5" s="22" t="s">
        <v>91</v>
      </c>
      <c r="F5" s="22" t="s">
        <v>99</v>
      </c>
      <c r="G5" s="23" t="str">
        <f>IF(F5="Good","No duplicate rows found",F5&amp;" row(s) involved in duplicates - review")</f>
        <v>No duplicate rows found</v>
      </c>
      <c r="I5" s="20" t="s">
        <v>0</v>
      </c>
      <c r="J5" s="20" t="s">
        <v>117</v>
      </c>
    </row>
    <row r="6" spans="2:14" x14ac:dyDescent="0.55000000000000004">
      <c r="B6" s="17" t="s">
        <v>85</v>
      </c>
      <c r="C6" s="21" cm="1">
        <f t="array" ref="C6">SUMPRODUCT(1/COUNTIF('Clean Data '!E$2:E$817,'Clean Data '!E$2:E$817))</f>
        <v>11.000000000000187</v>
      </c>
      <c r="E6" s="22" t="s">
        <v>92</v>
      </c>
      <c r="F6" s="22" t="s">
        <v>99</v>
      </c>
      <c r="G6" s="23" t="str">
        <f>IF(F6="Good","No blank key fields found","Blank key fields detected - review")</f>
        <v>No blank key fields found</v>
      </c>
      <c r="I6" s="20" t="s">
        <v>78</v>
      </c>
      <c r="J6" s="20" t="s">
        <v>117</v>
      </c>
    </row>
    <row r="7" spans="2:14" x14ac:dyDescent="0.55000000000000004">
      <c r="B7" s="17" t="s">
        <v>75</v>
      </c>
      <c r="C7" s="21" cm="1">
        <f t="array" ref="C7">SUMPRODUCT(1/COUNTIF('Clean Data '!D$2:D$817,'Clean Data '!D$2:D$817))</f>
        <v>40.999999999999872</v>
      </c>
      <c r="E7" s="22" t="s">
        <v>93</v>
      </c>
      <c r="F7" s="22" t="s">
        <v>99</v>
      </c>
      <c r="G7" s="23" t="str">
        <f>IF(F7="Good","All month values valid","Unrecognised month values found - review")</f>
        <v>All month values valid</v>
      </c>
      <c r="I7" s="20" t="s">
        <v>1</v>
      </c>
      <c r="J7" s="20" t="s">
        <v>117</v>
      </c>
    </row>
    <row r="8" spans="2:14" x14ac:dyDescent="0.55000000000000004">
      <c r="B8" s="17" t="s">
        <v>86</v>
      </c>
      <c r="C8" s="21" t="s">
        <v>120</v>
      </c>
      <c r="E8" s="22" t="s">
        <v>98</v>
      </c>
      <c r="F8" s="22" t="s">
        <v>99</v>
      </c>
      <c r="G8" s="23" t="str">
        <f>IF(F8="Good","No negative revenue actuals found","Negative revenue actuals detected - review")</f>
        <v>No negative revenue actuals found</v>
      </c>
      <c r="I8" s="20" t="s">
        <v>118</v>
      </c>
      <c r="J8" s="20" t="s">
        <v>117</v>
      </c>
    </row>
    <row r="9" spans="2:14" x14ac:dyDescent="0.55000000000000004">
      <c r="B9" s="25" t="s">
        <v>87</v>
      </c>
      <c r="C9" s="22">
        <v>12</v>
      </c>
      <c r="I9" s="20" t="s">
        <v>2</v>
      </c>
      <c r="J9" s="20" t="s">
        <v>119</v>
      </c>
    </row>
    <row r="10" spans="2:14" x14ac:dyDescent="0.55000000000000004">
      <c r="I10" s="20" t="s">
        <v>3</v>
      </c>
      <c r="J10" s="20" t="s">
        <v>119</v>
      </c>
    </row>
    <row r="11" spans="2:14" x14ac:dyDescent="0.55000000000000004">
      <c r="I11" s="22" t="s">
        <v>73</v>
      </c>
      <c r="J11" s="22" t="s">
        <v>119</v>
      </c>
    </row>
    <row r="12" spans="2:14" x14ac:dyDescent="0.55000000000000004">
      <c r="I12" s="22" t="s">
        <v>80</v>
      </c>
      <c r="J12" s="22" t="s">
        <v>121</v>
      </c>
    </row>
  </sheetData>
  <sheetProtection sheet="1" objects="1" scenarios="1"/>
  <mergeCells count="4">
    <mergeCell ref="I2:J2"/>
    <mergeCell ref="B1:J1"/>
    <mergeCell ref="E2:G2"/>
    <mergeCell ref="B2:C2"/>
  </mergeCells>
  <conditionalFormatting sqref="F4:F8">
    <cfRule type="iconSet" priority="1">
      <iconSet iconSet="3Symbols2">
        <cfvo type="percent" val="0"/>
        <cfvo type="percent" val="33"/>
        <cfvo type="percent" val="67"/>
      </iconSet>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0613-7B23-4A49-A31A-93F248FD18A2}">
  <sheetPr>
    <tabColor theme="8" tint="0.39997558519241921"/>
  </sheetPr>
  <dimension ref="A3:D111"/>
  <sheetViews>
    <sheetView topLeftCell="A67" workbookViewId="0">
      <selection activeCell="F79" sqref="F79"/>
    </sheetView>
  </sheetViews>
  <sheetFormatPr defaultColWidth="11.81640625" defaultRowHeight="17" customHeight="1" x14ac:dyDescent="0.5"/>
  <cols>
    <col min="1" max="1" width="13.7265625" bestFit="1" customWidth="1"/>
    <col min="2" max="2" width="14.26953125" bestFit="1" customWidth="1"/>
    <col min="3" max="3" width="14.81640625" bestFit="1" customWidth="1"/>
    <col min="4" max="4" width="12.453125" bestFit="1" customWidth="1"/>
  </cols>
  <sheetData>
    <row r="3" spans="1:3" ht="17" customHeight="1" x14ac:dyDescent="0.5">
      <c r="A3" s="2" t="s">
        <v>69</v>
      </c>
      <c r="B3" t="s">
        <v>71</v>
      </c>
      <c r="C3" t="s">
        <v>72</v>
      </c>
    </row>
    <row r="4" spans="1:3" ht="17" customHeight="1" x14ac:dyDescent="0.5">
      <c r="A4" s="3" t="s">
        <v>4</v>
      </c>
      <c r="B4" s="7">
        <v>1813818</v>
      </c>
      <c r="C4" s="7">
        <v>1838630</v>
      </c>
    </row>
    <row r="5" spans="1:3" ht="17" customHeight="1" x14ac:dyDescent="0.5">
      <c r="A5" s="3" t="s">
        <v>7</v>
      </c>
      <c r="B5" s="7">
        <v>1787615</v>
      </c>
      <c r="C5" s="7">
        <v>1786958</v>
      </c>
    </row>
    <row r="6" spans="1:3" ht="17" customHeight="1" x14ac:dyDescent="0.5">
      <c r="A6" s="3" t="s">
        <v>8</v>
      </c>
      <c r="B6" s="7">
        <v>2066678</v>
      </c>
      <c r="C6" s="7">
        <v>2084277</v>
      </c>
    </row>
    <row r="7" spans="1:3" ht="17" customHeight="1" x14ac:dyDescent="0.5">
      <c r="A7" s="3" t="s">
        <v>9</v>
      </c>
      <c r="B7" s="7">
        <v>2143632</v>
      </c>
      <c r="C7" s="7">
        <v>2159201</v>
      </c>
    </row>
    <row r="8" spans="1:3" ht="17" customHeight="1" x14ac:dyDescent="0.5">
      <c r="A8" s="3" t="s">
        <v>10</v>
      </c>
      <c r="B8" s="7">
        <v>2283168</v>
      </c>
      <c r="C8" s="7">
        <v>2310651</v>
      </c>
    </row>
    <row r="9" spans="1:3" ht="17" customHeight="1" x14ac:dyDescent="0.5">
      <c r="A9" s="3" t="s">
        <v>11</v>
      </c>
      <c r="B9" s="7">
        <v>2354205</v>
      </c>
      <c r="C9" s="7">
        <v>2340096</v>
      </c>
    </row>
    <row r="10" spans="1:3" ht="17" customHeight="1" x14ac:dyDescent="0.5">
      <c r="A10" s="3" t="s">
        <v>12</v>
      </c>
      <c r="B10" s="7">
        <v>2068397</v>
      </c>
      <c r="C10" s="7">
        <v>2101147</v>
      </c>
    </row>
    <row r="11" spans="1:3" ht="17" customHeight="1" x14ac:dyDescent="0.5">
      <c r="A11" s="3" t="s">
        <v>13</v>
      </c>
      <c r="B11" s="7">
        <v>1982985</v>
      </c>
      <c r="C11" s="7">
        <v>1976577</v>
      </c>
    </row>
    <row r="12" spans="1:3" ht="17" customHeight="1" x14ac:dyDescent="0.5">
      <c r="A12" s="3" t="s">
        <v>14</v>
      </c>
      <c r="B12" s="7">
        <v>2325460</v>
      </c>
      <c r="C12" s="7">
        <v>2316795</v>
      </c>
    </row>
    <row r="13" spans="1:3" ht="17" customHeight="1" x14ac:dyDescent="0.5">
      <c r="A13" s="3" t="s">
        <v>15</v>
      </c>
      <c r="B13" s="7">
        <v>2439617</v>
      </c>
      <c r="C13" s="7">
        <v>2446789</v>
      </c>
    </row>
    <row r="14" spans="1:3" ht="17" customHeight="1" x14ac:dyDescent="0.5">
      <c r="A14" s="3" t="s">
        <v>16</v>
      </c>
      <c r="B14" s="7">
        <v>2525028</v>
      </c>
      <c r="C14" s="7">
        <v>2581030</v>
      </c>
    </row>
    <row r="15" spans="1:3" ht="17" customHeight="1" x14ac:dyDescent="0.5">
      <c r="A15" s="3" t="s">
        <v>17</v>
      </c>
      <c r="B15" s="7">
        <v>3607402</v>
      </c>
      <c r="C15" s="7">
        <v>3777516</v>
      </c>
    </row>
    <row r="16" spans="1:3" ht="17" customHeight="1" x14ac:dyDescent="0.5">
      <c r="A16" s="3" t="s">
        <v>70</v>
      </c>
      <c r="B16" s="7">
        <v>27398005</v>
      </c>
      <c r="C16" s="7">
        <v>27719667</v>
      </c>
    </row>
    <row r="20" spans="1:2" ht="17" customHeight="1" x14ac:dyDescent="0.5">
      <c r="A20" s="2" t="s">
        <v>69</v>
      </c>
      <c r="B20" t="s">
        <v>74</v>
      </c>
    </row>
    <row r="21" spans="1:2" ht="17" customHeight="1" x14ac:dyDescent="0.5">
      <c r="A21" s="3" t="s">
        <v>60</v>
      </c>
      <c r="B21" s="7">
        <v>-14060</v>
      </c>
    </row>
    <row r="22" spans="1:2" ht="17" customHeight="1" x14ac:dyDescent="0.5">
      <c r="A22" s="3" t="s">
        <v>63</v>
      </c>
      <c r="B22" s="7">
        <v>-8284</v>
      </c>
    </row>
    <row r="23" spans="1:2" ht="17" customHeight="1" x14ac:dyDescent="0.5">
      <c r="A23" s="3" t="s">
        <v>47</v>
      </c>
      <c r="B23" s="7">
        <v>-4461</v>
      </c>
    </row>
    <row r="24" spans="1:2" ht="17" customHeight="1" x14ac:dyDescent="0.5">
      <c r="A24" s="3" t="s">
        <v>43</v>
      </c>
      <c r="B24" s="7">
        <v>-3335</v>
      </c>
    </row>
    <row r="25" spans="1:2" ht="17" customHeight="1" x14ac:dyDescent="0.5">
      <c r="A25" s="3" t="s">
        <v>40</v>
      </c>
      <c r="B25" s="7">
        <v>-3119</v>
      </c>
    </row>
    <row r="26" spans="1:2" ht="17" customHeight="1" x14ac:dyDescent="0.5">
      <c r="A26" s="3" t="s">
        <v>53</v>
      </c>
      <c r="B26" s="7">
        <v>-2567</v>
      </c>
    </row>
    <row r="27" spans="1:2" ht="17" customHeight="1" x14ac:dyDescent="0.5">
      <c r="A27" s="3" t="s">
        <v>33</v>
      </c>
      <c r="B27" s="7">
        <v>-1941</v>
      </c>
    </row>
    <row r="28" spans="1:2" ht="17" customHeight="1" x14ac:dyDescent="0.5">
      <c r="A28" s="3" t="s">
        <v>66</v>
      </c>
      <c r="B28" s="7">
        <v>4198</v>
      </c>
    </row>
    <row r="29" spans="1:2" ht="17" customHeight="1" x14ac:dyDescent="0.5">
      <c r="A29" s="3" t="s">
        <v>55</v>
      </c>
      <c r="B29" s="7">
        <v>8708</v>
      </c>
    </row>
    <row r="30" spans="1:2" ht="17" customHeight="1" x14ac:dyDescent="0.5">
      <c r="A30" s="3" t="s">
        <v>24</v>
      </c>
      <c r="B30" s="7">
        <v>30413</v>
      </c>
    </row>
    <row r="31" spans="1:2" ht="17" customHeight="1" x14ac:dyDescent="0.5">
      <c r="A31" s="3" t="s">
        <v>76</v>
      </c>
      <c r="B31" s="7">
        <v>316110</v>
      </c>
    </row>
    <row r="32" spans="1:2" ht="17" customHeight="1" x14ac:dyDescent="0.5">
      <c r="A32" s="3" t="s">
        <v>70</v>
      </c>
      <c r="B32" s="7">
        <v>321662</v>
      </c>
    </row>
    <row r="36" spans="1:4" ht="17" customHeight="1" x14ac:dyDescent="0.5">
      <c r="A36" s="2" t="s">
        <v>101</v>
      </c>
      <c r="B36" s="2" t="s">
        <v>102</v>
      </c>
    </row>
    <row r="37" spans="1:4" ht="17" customHeight="1" x14ac:dyDescent="0.5">
      <c r="A37" s="2" t="s">
        <v>69</v>
      </c>
      <c r="B37" t="s">
        <v>81</v>
      </c>
      <c r="C37" t="s">
        <v>82</v>
      </c>
      <c r="D37" t="s">
        <v>70</v>
      </c>
    </row>
    <row r="38" spans="1:4" ht="17" customHeight="1" x14ac:dyDescent="0.5">
      <c r="A38" s="3" t="s">
        <v>103</v>
      </c>
      <c r="B38" s="32">
        <v>100</v>
      </c>
      <c r="C38" s="32">
        <v>104</v>
      </c>
      <c r="D38" s="32">
        <v>204</v>
      </c>
    </row>
    <row r="39" spans="1:4" ht="17" customHeight="1" x14ac:dyDescent="0.5">
      <c r="A39" s="3" t="s">
        <v>104</v>
      </c>
      <c r="B39" s="32">
        <v>109</v>
      </c>
      <c r="C39" s="32">
        <v>95</v>
      </c>
      <c r="D39" s="32">
        <v>204</v>
      </c>
    </row>
    <row r="40" spans="1:4" ht="17" customHeight="1" x14ac:dyDescent="0.5">
      <c r="A40" s="3" t="s">
        <v>105</v>
      </c>
      <c r="B40" s="32">
        <v>108</v>
      </c>
      <c r="C40" s="32">
        <v>96</v>
      </c>
      <c r="D40" s="32">
        <v>204</v>
      </c>
    </row>
    <row r="41" spans="1:4" ht="17" customHeight="1" x14ac:dyDescent="0.5">
      <c r="A41" s="3" t="s">
        <v>106</v>
      </c>
      <c r="B41" s="32">
        <v>100</v>
      </c>
      <c r="C41" s="32">
        <v>104</v>
      </c>
      <c r="D41" s="32">
        <v>204</v>
      </c>
    </row>
    <row r="42" spans="1:4" ht="17" customHeight="1" x14ac:dyDescent="0.5">
      <c r="A42" s="3" t="s">
        <v>70</v>
      </c>
      <c r="B42" s="32">
        <v>417</v>
      </c>
      <c r="C42" s="32">
        <v>399</v>
      </c>
      <c r="D42" s="32">
        <v>816</v>
      </c>
    </row>
    <row r="49" spans="1:4" ht="17" customHeight="1" x14ac:dyDescent="0.5">
      <c r="A49" s="2" t="s">
        <v>69</v>
      </c>
      <c r="B49" t="s">
        <v>74</v>
      </c>
    </row>
    <row r="50" spans="1:4" ht="17" customHeight="1" x14ac:dyDescent="0.5">
      <c r="A50" s="3" t="s">
        <v>23</v>
      </c>
      <c r="B50" s="7">
        <v>5552</v>
      </c>
    </row>
    <row r="51" spans="1:4" ht="17" customHeight="1" x14ac:dyDescent="0.5">
      <c r="A51" s="10" t="s">
        <v>81</v>
      </c>
      <c r="B51" s="7">
        <v>-172514</v>
      </c>
    </row>
    <row r="52" spans="1:4" ht="17" customHeight="1" x14ac:dyDescent="0.5">
      <c r="A52" s="10" t="s">
        <v>82</v>
      </c>
      <c r="B52" s="7">
        <v>178066</v>
      </c>
    </row>
    <row r="53" spans="1:4" ht="17" customHeight="1" x14ac:dyDescent="0.5">
      <c r="A53" s="3" t="s">
        <v>5</v>
      </c>
      <c r="B53" s="7">
        <v>316110</v>
      </c>
    </row>
    <row r="54" spans="1:4" ht="17" customHeight="1" x14ac:dyDescent="0.5">
      <c r="A54" s="10" t="s">
        <v>81</v>
      </c>
      <c r="B54" s="7">
        <v>431642</v>
      </c>
    </row>
    <row r="55" spans="1:4" ht="17" customHeight="1" x14ac:dyDescent="0.5">
      <c r="A55" s="10" t="s">
        <v>82</v>
      </c>
      <c r="B55" s="7">
        <v>-115532</v>
      </c>
    </row>
    <row r="56" spans="1:4" ht="17" customHeight="1" x14ac:dyDescent="0.5">
      <c r="A56" s="3" t="s">
        <v>70</v>
      </c>
      <c r="B56" s="7">
        <v>321662</v>
      </c>
    </row>
    <row r="62" spans="1:4" ht="17" customHeight="1" x14ac:dyDescent="0.5">
      <c r="A62" s="2" t="s">
        <v>74</v>
      </c>
      <c r="B62" s="2" t="s">
        <v>102</v>
      </c>
    </row>
    <row r="63" spans="1:4" ht="17" customHeight="1" x14ac:dyDescent="0.5">
      <c r="A63" s="2" t="s">
        <v>69</v>
      </c>
      <c r="B63" t="s">
        <v>81</v>
      </c>
      <c r="C63" t="s">
        <v>82</v>
      </c>
      <c r="D63" t="s">
        <v>70</v>
      </c>
    </row>
    <row r="64" spans="1:4" ht="17" customHeight="1" x14ac:dyDescent="0.5">
      <c r="A64" s="3" t="s">
        <v>20</v>
      </c>
      <c r="B64" s="7">
        <v>44767</v>
      </c>
      <c r="C64" s="7">
        <v>-5639</v>
      </c>
      <c r="D64" s="7">
        <v>39128</v>
      </c>
    </row>
    <row r="65" spans="1:4" ht="17" customHeight="1" x14ac:dyDescent="0.5">
      <c r="A65" s="3" t="s">
        <v>21</v>
      </c>
      <c r="B65" s="7">
        <v>35481</v>
      </c>
      <c r="C65" s="7">
        <v>-5260</v>
      </c>
      <c r="D65" s="7">
        <v>30221</v>
      </c>
    </row>
    <row r="66" spans="1:4" ht="17" customHeight="1" x14ac:dyDescent="0.5">
      <c r="A66" s="3" t="s">
        <v>6</v>
      </c>
      <c r="B66" s="7">
        <v>172206</v>
      </c>
      <c r="C66" s="7">
        <v>-25667</v>
      </c>
      <c r="D66" s="7">
        <v>146539</v>
      </c>
    </row>
    <row r="67" spans="1:4" ht="17" customHeight="1" x14ac:dyDescent="0.5">
      <c r="A67" s="3" t="s">
        <v>18</v>
      </c>
      <c r="B67" s="7">
        <v>75496</v>
      </c>
      <c r="C67" s="7">
        <v>-19939</v>
      </c>
      <c r="D67" s="7">
        <v>55557</v>
      </c>
    </row>
    <row r="68" spans="1:4" ht="17" customHeight="1" x14ac:dyDescent="0.5">
      <c r="A68" s="3" t="s">
        <v>19</v>
      </c>
      <c r="B68" s="7">
        <v>94491</v>
      </c>
      <c r="C68" s="7">
        <v>-57297</v>
      </c>
      <c r="D68" s="7">
        <v>37194</v>
      </c>
    </row>
    <row r="69" spans="1:4" ht="17" customHeight="1" x14ac:dyDescent="0.5">
      <c r="A69" s="3" t="s">
        <v>70</v>
      </c>
      <c r="B69" s="7">
        <v>422441</v>
      </c>
      <c r="C69" s="7">
        <v>-113802</v>
      </c>
      <c r="D69" s="7">
        <v>308639</v>
      </c>
    </row>
    <row r="72" spans="1:4" ht="17" customHeight="1" x14ac:dyDescent="0.5">
      <c r="A72" s="2" t="s">
        <v>69</v>
      </c>
      <c r="B72" t="s">
        <v>72</v>
      </c>
      <c r="C72" t="s">
        <v>71</v>
      </c>
    </row>
    <row r="73" spans="1:4" ht="17" customHeight="1" x14ac:dyDescent="0.5">
      <c r="A73" s="3" t="s">
        <v>23</v>
      </c>
      <c r="B73" s="7">
        <v>17253557</v>
      </c>
      <c r="C73" s="7">
        <v>17248005</v>
      </c>
    </row>
    <row r="74" spans="1:4" ht="17" customHeight="1" x14ac:dyDescent="0.5">
      <c r="A74" s="3" t="s">
        <v>5</v>
      </c>
      <c r="B74" s="7">
        <v>10466110</v>
      </c>
      <c r="C74" s="7">
        <v>10150000</v>
      </c>
    </row>
    <row r="75" spans="1:4" ht="17" customHeight="1" x14ac:dyDescent="0.5">
      <c r="A75" s="3" t="s">
        <v>70</v>
      </c>
      <c r="B75" s="7">
        <v>27719667</v>
      </c>
      <c r="C75" s="7">
        <v>27398005</v>
      </c>
    </row>
    <row r="83" spans="1:4" ht="17" customHeight="1" x14ac:dyDescent="0.5">
      <c r="A83" s="2" t="s">
        <v>74</v>
      </c>
      <c r="B83" s="2" t="s">
        <v>102</v>
      </c>
    </row>
    <row r="84" spans="1:4" ht="17" customHeight="1" x14ac:dyDescent="0.5">
      <c r="A84" s="2" t="s">
        <v>69</v>
      </c>
      <c r="B84" t="s">
        <v>81</v>
      </c>
      <c r="C84" t="s">
        <v>82</v>
      </c>
      <c r="D84" t="s">
        <v>70</v>
      </c>
    </row>
    <row r="85" spans="1:4" ht="17" customHeight="1" x14ac:dyDescent="0.5">
      <c r="A85" s="3" t="s">
        <v>76</v>
      </c>
      <c r="B85" s="7">
        <v>431642</v>
      </c>
      <c r="C85" s="7">
        <v>-115532</v>
      </c>
      <c r="D85" s="7">
        <v>316110</v>
      </c>
    </row>
    <row r="86" spans="1:4" ht="17" customHeight="1" x14ac:dyDescent="0.5">
      <c r="A86" s="3" t="s">
        <v>66</v>
      </c>
      <c r="B86" s="7">
        <v>-8363</v>
      </c>
      <c r="C86" s="7">
        <v>12561</v>
      </c>
      <c r="D86" s="7">
        <v>4198</v>
      </c>
    </row>
    <row r="87" spans="1:4" ht="17" customHeight="1" x14ac:dyDescent="0.5">
      <c r="A87" s="3" t="s">
        <v>33</v>
      </c>
      <c r="B87" s="7">
        <v>-37172</v>
      </c>
      <c r="C87" s="7">
        <v>35231</v>
      </c>
      <c r="D87" s="7">
        <v>-1941</v>
      </c>
    </row>
    <row r="88" spans="1:4" ht="17" customHeight="1" x14ac:dyDescent="0.5">
      <c r="A88" s="3" t="s">
        <v>55</v>
      </c>
      <c r="B88" s="7">
        <v>-14620</v>
      </c>
      <c r="C88" s="7">
        <v>23328</v>
      </c>
      <c r="D88" s="7">
        <v>8708</v>
      </c>
    </row>
    <row r="89" spans="1:4" ht="17" customHeight="1" x14ac:dyDescent="0.5">
      <c r="A89" s="3" t="s">
        <v>24</v>
      </c>
      <c r="B89" s="7">
        <v>-15482</v>
      </c>
      <c r="C89" s="7">
        <v>45895</v>
      </c>
      <c r="D89" s="7">
        <v>30413</v>
      </c>
    </row>
    <row r="90" spans="1:4" ht="17" customHeight="1" x14ac:dyDescent="0.5">
      <c r="A90" s="3" t="s">
        <v>70</v>
      </c>
      <c r="B90" s="7">
        <v>356005</v>
      </c>
      <c r="C90" s="7">
        <v>1483</v>
      </c>
      <c r="D90" s="7">
        <v>357488</v>
      </c>
    </row>
    <row r="99" spans="1:4" ht="17" customHeight="1" x14ac:dyDescent="0.5">
      <c r="A99" t="s">
        <v>71</v>
      </c>
    </row>
    <row r="100" spans="1:4" ht="17" customHeight="1" x14ac:dyDescent="0.5">
      <c r="A100" s="7">
        <v>27398005</v>
      </c>
    </row>
    <row r="102" spans="1:4" ht="17" customHeight="1" x14ac:dyDescent="0.5">
      <c r="A102" t="s">
        <v>72</v>
      </c>
    </row>
    <row r="103" spans="1:4" ht="17" customHeight="1" x14ac:dyDescent="0.5">
      <c r="A103" s="7">
        <v>27719667</v>
      </c>
    </row>
    <row r="105" spans="1:4" ht="17" customHeight="1" x14ac:dyDescent="0.5">
      <c r="B105" s="2" t="s">
        <v>102</v>
      </c>
    </row>
    <row r="106" spans="1:4" ht="17" customHeight="1" x14ac:dyDescent="0.5">
      <c r="B106" t="s">
        <v>81</v>
      </c>
      <c r="C106" t="s">
        <v>82</v>
      </c>
      <c r="D106" t="s">
        <v>70</v>
      </c>
    </row>
    <row r="107" spans="1:4" ht="17" customHeight="1" x14ac:dyDescent="0.5">
      <c r="A107" t="s">
        <v>74</v>
      </c>
      <c r="B107" s="7">
        <v>259128</v>
      </c>
      <c r="C107" s="7">
        <v>62534</v>
      </c>
      <c r="D107" s="7">
        <v>321662</v>
      </c>
    </row>
    <row r="109" spans="1:4" ht="17" customHeight="1" x14ac:dyDescent="0.5">
      <c r="B109" s="2" t="s">
        <v>102</v>
      </c>
    </row>
    <row r="110" spans="1:4" ht="17" customHeight="1" x14ac:dyDescent="0.5">
      <c r="B110" t="s">
        <v>81</v>
      </c>
      <c r="C110" t="s">
        <v>82</v>
      </c>
      <c r="D110" t="s">
        <v>70</v>
      </c>
    </row>
    <row r="111" spans="1:4" ht="17" customHeight="1" x14ac:dyDescent="0.5">
      <c r="A111" t="s">
        <v>107</v>
      </c>
      <c r="B111" s="11">
        <v>-13.789915598346688</v>
      </c>
      <c r="C111" s="11">
        <v>16.165851272263502</v>
      </c>
      <c r="D111" s="11">
        <v>2.375935673916814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1D85-20AA-4B75-A0D1-B6270F04FE07}">
  <sheetPr>
    <tabColor theme="5" tint="-0.249977111117893"/>
  </sheetPr>
  <dimension ref="A1"/>
  <sheetViews>
    <sheetView showRowColHeaders="0" tabSelected="1" zoomScale="86" zoomScaleNormal="78" workbookViewId="0">
      <selection activeCell="R14" sqref="R14"/>
    </sheetView>
  </sheetViews>
  <sheetFormatPr defaultRowHeight="16.5" x14ac:dyDescent="0.5"/>
  <cols>
    <col min="1" max="13" width="8.7265625" style="1"/>
    <col min="14" max="14" width="20.36328125" style="1" customWidth="1"/>
    <col min="15" max="16384" width="8.7265625" style="1"/>
  </cols>
  <sheetData/>
  <sheetProtection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 Data </vt:lpstr>
      <vt:lpstr>BUSINESS QUESTIONS</vt:lpstr>
      <vt:lpstr>EDA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Constance O.</dc:creator>
  <cp:lastModifiedBy>Constance O.</cp:lastModifiedBy>
  <dcterms:created xsi:type="dcterms:W3CDTF">2026-07-07T20:41:56Z</dcterms:created>
  <dcterms:modified xsi:type="dcterms:W3CDTF">2026-07-16T17:38:55Z</dcterms:modified>
</cp:coreProperties>
</file>